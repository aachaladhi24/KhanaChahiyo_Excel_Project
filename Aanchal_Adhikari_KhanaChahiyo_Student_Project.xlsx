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tables/table8.xml" ContentType="application/vnd.openxmlformats-officedocument.spreadsheetml.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Data Analytics\EXCEL PRACTICE\"/>
    </mc:Choice>
  </mc:AlternateContent>
  <xr:revisionPtr revIDLastSave="0" documentId="13_ncr:1_{405ED6E2-0B2A-4C17-A202-F0D157D3B09B}" xr6:coauthVersionLast="47" xr6:coauthVersionMax="47" xr10:uidLastSave="{00000000-0000-0000-0000-000000000000}"/>
  <bookViews>
    <workbookView xWindow="-108" yWindow="-108" windowWidth="23256" windowHeight="12456" tabRatio="759" activeTab="2" xr2:uid="{00000000-000D-0000-FFFF-FFFF00000000}"/>
  </bookViews>
  <sheets>
    <sheet name="Instructions" sheetId="1" r:id="rId1"/>
    <sheet name="Orders_Work" sheetId="9" r:id="rId2"/>
    <sheet name="Dashboard" sheetId="10" r:id="rId3"/>
    <sheet name="Menu_Price_List" sheetId="3" r:id="rId4"/>
    <sheet name="Rider_Directory" sheetId="4" r:id="rId5"/>
    <sheet name="Promo_Codes" sheetId="5" r:id="rId6"/>
    <sheet name="Orders_Raw" sheetId="2" r:id="rId7"/>
    <sheet name="City_Delivery_Fee" sheetId="6" r:id="rId8"/>
    <sheet name="ForecastSheet" sheetId="15" r:id="rId9"/>
    <sheet name="WhatIF" sheetId="16" r:id="rId10"/>
    <sheet name="ForecastData" sheetId="7" r:id="rId11"/>
  </sheets>
  <definedNames>
    <definedName name="_xlchart.v1.0" hidden="1">Dashboard!$C$119:$C$123</definedName>
    <definedName name="_xlchart.v1.1" hidden="1">Dashboard!$D$118</definedName>
    <definedName name="_xlchart.v1.2" hidden="1">Dashboard!$D$119:$D$123</definedName>
    <definedName name="Slicer_PaymentMethod">#N/A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0" l="1"/>
  <c r="D4" i="10" s="1" a="1"/>
  <c r="D4" i="10" s="1"/>
  <c r="C2" i="10"/>
  <c r="C4" i="10" s="1" a="1"/>
  <c r="C4" i="10" s="1"/>
  <c r="B2" i="10"/>
  <c r="B4" i="10" s="1" a="1"/>
  <c r="B4" i="10" s="1"/>
  <c r="C21" i="16"/>
  <c r="G28" i="15" a="1"/>
  <c r="G28" i="15" s="1"/>
  <c r="O43" i="10" a="1"/>
  <c r="O43" i="10" s="1"/>
  <c r="A3" i="7"/>
  <c r="B3" i="7" s="1"/>
  <c r="B2" i="7"/>
  <c r="AD79" i="9"/>
  <c r="AD118" i="9"/>
  <c r="AD55" i="9"/>
  <c r="AD147" i="9"/>
  <c r="AD48" i="9"/>
  <c r="AD315" i="9"/>
  <c r="AD190" i="9"/>
  <c r="AD278" i="9"/>
  <c r="AD262" i="9"/>
  <c r="AD11" i="9"/>
  <c r="AD254" i="9"/>
  <c r="AD8" i="9"/>
  <c r="AD263" i="9"/>
  <c r="AD322" i="9"/>
  <c r="AD105" i="9"/>
  <c r="AD184" i="9"/>
  <c r="AD6" i="9"/>
  <c r="AD183" i="9"/>
  <c r="AD73" i="9"/>
  <c r="AD62" i="9"/>
  <c r="AD177" i="9"/>
  <c r="AD94" i="9"/>
  <c r="AD58" i="9"/>
  <c r="AD145" i="9"/>
  <c r="AD325" i="9"/>
  <c r="AD138" i="9"/>
  <c r="AD256" i="9"/>
  <c r="AD109" i="9"/>
  <c r="AD60" i="9"/>
  <c r="AD18" i="9"/>
  <c r="AD321" i="9"/>
  <c r="AD173" i="9"/>
  <c r="AD313" i="9"/>
  <c r="AD75" i="9"/>
  <c r="AD230" i="9"/>
  <c r="AD229" i="9"/>
  <c r="AD56" i="9"/>
  <c r="AD170" i="9"/>
  <c r="AD99" i="9"/>
  <c r="AD205" i="9"/>
  <c r="AD131" i="9"/>
  <c r="AD228" i="9"/>
  <c r="AD275" i="9"/>
  <c r="AD98" i="9"/>
  <c r="AD134" i="9"/>
  <c r="AD284" i="9"/>
  <c r="AD25" i="9"/>
  <c r="AD304" i="9"/>
  <c r="AD277" i="9"/>
  <c r="AD120" i="9"/>
  <c r="AD122" i="9"/>
  <c r="AD231" i="9"/>
  <c r="AD100" i="9"/>
  <c r="AD21" i="9"/>
  <c r="AD139" i="9"/>
  <c r="AD268" i="9"/>
  <c r="AD64" i="9"/>
  <c r="AD162" i="9"/>
  <c r="AD133" i="9"/>
  <c r="AD47" i="9"/>
  <c r="AD264" i="9"/>
  <c r="AD50" i="9"/>
  <c r="AD142" i="9"/>
  <c r="AD233" i="9"/>
  <c r="AD63" i="9"/>
  <c r="AD96" i="9"/>
  <c r="AD40" i="9"/>
  <c r="AD248" i="9"/>
  <c r="AD43" i="9"/>
  <c r="AD85" i="9"/>
  <c r="AD160" i="9"/>
  <c r="AD272" i="9"/>
  <c r="AD22" i="9"/>
  <c r="AD116" i="9"/>
  <c r="AD280" i="9"/>
  <c r="AD155" i="9"/>
  <c r="AD180" i="9"/>
  <c r="AD269" i="9"/>
  <c r="AD247" i="9"/>
  <c r="AD239" i="9"/>
  <c r="AD288" i="9"/>
  <c r="AD285" i="9"/>
  <c r="AD221" i="9"/>
  <c r="AD32" i="9"/>
  <c r="AD149" i="9"/>
  <c r="AD154" i="9"/>
  <c r="AD203" i="9"/>
  <c r="AD287" i="9"/>
  <c r="AD69" i="9"/>
  <c r="AD28" i="9"/>
  <c r="AD49" i="9"/>
  <c r="AD59" i="9"/>
  <c r="AD178" i="9"/>
  <c r="AD214" i="9"/>
  <c r="AD65" i="9"/>
  <c r="AD140" i="9"/>
  <c r="AD107" i="9"/>
  <c r="AD297" i="9"/>
  <c r="AD267" i="9"/>
  <c r="AD299" i="9"/>
  <c r="AD236" i="9"/>
  <c r="AD42" i="9"/>
  <c r="AD227" i="9"/>
  <c r="AD185" i="9"/>
  <c r="AD294" i="9"/>
  <c r="AD187" i="9"/>
  <c r="AD80" i="9"/>
  <c r="AD17" i="9"/>
  <c r="AD237" i="9"/>
  <c r="AD108" i="9"/>
  <c r="AD249" i="9"/>
  <c r="AD23" i="9"/>
  <c r="AD302" i="9"/>
  <c r="AD202" i="9"/>
  <c r="AD164" i="9"/>
  <c r="AD201" i="9"/>
  <c r="AD19" i="9"/>
  <c r="AD298" i="9"/>
  <c r="AD242" i="9"/>
  <c r="AD119" i="9"/>
  <c r="AD175" i="9"/>
  <c r="AD300" i="9"/>
  <c r="AD114" i="9"/>
  <c r="AD191" i="9"/>
  <c r="AD200" i="9"/>
  <c r="AD127" i="9"/>
  <c r="AD216" i="9"/>
  <c r="AD181" i="9"/>
  <c r="AD90" i="9"/>
  <c r="AD112" i="9"/>
  <c r="AD86" i="9"/>
  <c r="AD208" i="9"/>
  <c r="AD78" i="9"/>
  <c r="AD196" i="9"/>
  <c r="AD4" i="9"/>
  <c r="AD45" i="9"/>
  <c r="AD82" i="9"/>
  <c r="AD15" i="9"/>
  <c r="AD88" i="9"/>
  <c r="AD182" i="9"/>
  <c r="AD161" i="9"/>
  <c r="AD204" i="9"/>
  <c r="AD220" i="9"/>
  <c r="AD324" i="9"/>
  <c r="AD151" i="9"/>
  <c r="AD143" i="9"/>
  <c r="AD293" i="9"/>
  <c r="AD24" i="9"/>
  <c r="AD192" i="9"/>
  <c r="AD103" i="9"/>
  <c r="AD292" i="9"/>
  <c r="AD57" i="9"/>
  <c r="AD72" i="9"/>
  <c r="AD314" i="9"/>
  <c r="AD14" i="9"/>
  <c r="AD222" i="9"/>
  <c r="AD159" i="9"/>
  <c r="AD135" i="9"/>
  <c r="AD197" i="9"/>
  <c r="AD16" i="9"/>
  <c r="AD117" i="9"/>
  <c r="AD150" i="9"/>
  <c r="AD303" i="9"/>
  <c r="AD252" i="9"/>
  <c r="AD93" i="9"/>
  <c r="AD38" i="9"/>
  <c r="AD144" i="9"/>
  <c r="AD104" i="9"/>
  <c r="AD290" i="9"/>
  <c r="AD172" i="9"/>
  <c r="AD46" i="9"/>
  <c r="AD156" i="9"/>
  <c r="AD270" i="9"/>
  <c r="AD111" i="9"/>
  <c r="AD224" i="9"/>
  <c r="AD102" i="9"/>
  <c r="AD195" i="9"/>
  <c r="AD91" i="9"/>
  <c r="AD286" i="9"/>
  <c r="AD9" i="9"/>
  <c r="AD271" i="9"/>
  <c r="AD132" i="9"/>
  <c r="AD282" i="9"/>
  <c r="AD215" i="9"/>
  <c r="AD213" i="9"/>
  <c r="AD291" i="9"/>
  <c r="AD39" i="9"/>
  <c r="AD260" i="9"/>
  <c r="AD81" i="9"/>
  <c r="AD217" i="9"/>
  <c r="AD163" i="9"/>
  <c r="AD310" i="9"/>
  <c r="AD2" i="9"/>
  <c r="AD218" i="9"/>
  <c r="AD37" i="9"/>
  <c r="AD261" i="9"/>
  <c r="AD295" i="9"/>
  <c r="AD71" i="9"/>
  <c r="AD76" i="9"/>
  <c r="AD12" i="9"/>
  <c r="AD168" i="9"/>
  <c r="AD326" i="9"/>
  <c r="AD27" i="9"/>
  <c r="AD194" i="9"/>
  <c r="AD301" i="9"/>
  <c r="AD244" i="9"/>
  <c r="AD44" i="9"/>
  <c r="AD198" i="9"/>
  <c r="AD157" i="9"/>
  <c r="AD95" i="9"/>
  <c r="AD179" i="9"/>
  <c r="AD41" i="9"/>
  <c r="AD97" i="9"/>
  <c r="AD5" i="9"/>
  <c r="AD128" i="9"/>
  <c r="AD274" i="9"/>
  <c r="AD31" i="9"/>
  <c r="AD206" i="9"/>
  <c r="AD323" i="9"/>
  <c r="AD129" i="9"/>
  <c r="AD219" i="9"/>
  <c r="AD169" i="9"/>
  <c r="AD307" i="9"/>
  <c r="AD188" i="9"/>
  <c r="AD210" i="9"/>
  <c r="AD319" i="9"/>
  <c r="AD13" i="9"/>
  <c r="AD306" i="9"/>
  <c r="AD52" i="9"/>
  <c r="AD289" i="9"/>
  <c r="AD283" i="9"/>
  <c r="AD68" i="9"/>
  <c r="AD257" i="9"/>
  <c r="AD70" i="9"/>
  <c r="AD84" i="9"/>
  <c r="AD92" i="9"/>
  <c r="AD226" i="9"/>
  <c r="AD77" i="9"/>
  <c r="AD89" i="9"/>
  <c r="AD199" i="9"/>
  <c r="AD33" i="9"/>
  <c r="AD34" i="9"/>
  <c r="AD152" i="9"/>
  <c r="AD166" i="9"/>
  <c r="AD29" i="9"/>
  <c r="AD125" i="9"/>
  <c r="AD54" i="9"/>
  <c r="AD3" i="9"/>
  <c r="AD232" i="9"/>
  <c r="AD148" i="9"/>
  <c r="AD305" i="9"/>
  <c r="AD167" i="9"/>
  <c r="AD136" i="9"/>
  <c r="AD259" i="9"/>
  <c r="AD250" i="9"/>
  <c r="AD20" i="9"/>
  <c r="AD176" i="9"/>
  <c r="AD7" i="9"/>
  <c r="AD211" i="9"/>
  <c r="AD225" i="9"/>
  <c r="AD158" i="9"/>
  <c r="AD67" i="9"/>
  <c r="AD110" i="9"/>
  <c r="AD130" i="9"/>
  <c r="AD106" i="9"/>
  <c r="AD61" i="9"/>
  <c r="AD10" i="9"/>
  <c r="AD36" i="9"/>
  <c r="AD74" i="9"/>
  <c r="AD124" i="9"/>
  <c r="AD186" i="9"/>
  <c r="AD35" i="9"/>
  <c r="AD66" i="9"/>
  <c r="AD115" i="9"/>
  <c r="AD165" i="9"/>
  <c r="AD316" i="9"/>
  <c r="AD223" i="9"/>
  <c r="AD255" i="9"/>
  <c r="AD235" i="9"/>
  <c r="AD121" i="9"/>
  <c r="AD240" i="9"/>
  <c r="AD308" i="9"/>
  <c r="AD141" i="9"/>
  <c r="AD30" i="9"/>
  <c r="AD276" i="9"/>
  <c r="AD245" i="9"/>
  <c r="AD273" i="9"/>
  <c r="AD253" i="9"/>
  <c r="AD296" i="9"/>
  <c r="AD83" i="9"/>
  <c r="AD266" i="9"/>
  <c r="AD327" i="9"/>
  <c r="AD241" i="9"/>
  <c r="AD53" i="9"/>
  <c r="AD279" i="9"/>
  <c r="AD234" i="9"/>
  <c r="AD137" i="9"/>
  <c r="AD174" i="9"/>
  <c r="AD189" i="9"/>
  <c r="AD209" i="9"/>
  <c r="AD153" i="9"/>
  <c r="AD87" i="9"/>
  <c r="AD243" i="9"/>
  <c r="AD309" i="9"/>
  <c r="AD126" i="9"/>
  <c r="AD251" i="9"/>
  <c r="AD320" i="9"/>
  <c r="AD238" i="9"/>
  <c r="AD258" i="9"/>
  <c r="AD113" i="9"/>
  <c r="AD207" i="9"/>
  <c r="AD246" i="9"/>
  <c r="AD101" i="9"/>
  <c r="AD193" i="9"/>
  <c r="AD123" i="9"/>
  <c r="AD51" i="9"/>
  <c r="AD265" i="9"/>
  <c r="AD317" i="9"/>
  <c r="AD212" i="9"/>
  <c r="AD146" i="9"/>
  <c r="AD311" i="9"/>
  <c r="AD281" i="9"/>
  <c r="AD312" i="9"/>
  <c r="AD318" i="9"/>
  <c r="AD26" i="9"/>
  <c r="AD171" i="9"/>
  <c r="G2" i="4"/>
  <c r="G3" i="4"/>
  <c r="G4" i="4"/>
  <c r="G5" i="4"/>
  <c r="G6" i="4"/>
  <c r="G7" i="4"/>
  <c r="G8" i="4"/>
  <c r="G9" i="4"/>
  <c r="G10" i="4"/>
  <c r="G11" i="4"/>
  <c r="G12" i="4"/>
  <c r="G13" i="4"/>
  <c r="G14" i="4"/>
  <c r="G15" i="4"/>
  <c r="G16" i="4"/>
  <c r="G17" i="4"/>
  <c r="G18" i="4"/>
  <c r="G19" i="4"/>
  <c r="G20" i="4"/>
  <c r="G21" i="4"/>
  <c r="G22" i="4"/>
  <c r="G23" i="4"/>
  <c r="G24" i="4"/>
  <c r="G25" i="4"/>
  <c r="G26" i="4"/>
  <c r="AB281" i="9"/>
  <c r="AB311" i="9"/>
  <c r="AB312" i="9"/>
  <c r="AB318" i="9"/>
  <c r="AB26" i="9"/>
  <c r="AB171" i="9"/>
  <c r="AB146" i="9"/>
  <c r="AB79" i="9"/>
  <c r="AB118" i="9"/>
  <c r="AB55" i="9"/>
  <c r="AB147" i="9"/>
  <c r="AB48" i="9"/>
  <c r="AB315" i="9"/>
  <c r="AB190" i="9"/>
  <c r="AB278" i="9"/>
  <c r="AB262" i="9"/>
  <c r="AB11" i="9"/>
  <c r="AB254" i="9"/>
  <c r="AB8" i="9"/>
  <c r="AB263" i="9"/>
  <c r="AB322" i="9"/>
  <c r="AB105" i="9"/>
  <c r="AB184" i="9"/>
  <c r="AB6" i="9"/>
  <c r="AB183" i="9"/>
  <c r="AB73" i="9"/>
  <c r="AB62" i="9"/>
  <c r="AB177" i="9"/>
  <c r="AB94" i="9"/>
  <c r="AB58" i="9"/>
  <c r="AB145" i="9"/>
  <c r="AB325" i="9"/>
  <c r="AB138" i="9"/>
  <c r="AB256" i="9"/>
  <c r="AB109" i="9"/>
  <c r="AB60" i="9"/>
  <c r="AB18" i="9"/>
  <c r="AB321" i="9"/>
  <c r="AB173" i="9"/>
  <c r="AB313" i="9"/>
  <c r="AB75" i="9"/>
  <c r="AB230" i="9"/>
  <c r="AB229" i="9"/>
  <c r="AB56" i="9"/>
  <c r="AB170" i="9"/>
  <c r="AB99" i="9"/>
  <c r="AB205" i="9"/>
  <c r="AB131" i="9"/>
  <c r="AB228" i="9"/>
  <c r="AB275" i="9"/>
  <c r="AB98" i="9"/>
  <c r="AB134" i="9"/>
  <c r="AB284" i="9"/>
  <c r="AB25" i="9"/>
  <c r="AB304" i="9"/>
  <c r="AB277" i="9"/>
  <c r="AB120" i="9"/>
  <c r="AB122" i="9"/>
  <c r="AB231" i="9"/>
  <c r="AB100" i="9"/>
  <c r="AB21" i="9"/>
  <c r="AB139" i="9"/>
  <c r="AB268" i="9"/>
  <c r="AB64" i="9"/>
  <c r="AB162" i="9"/>
  <c r="AB133" i="9"/>
  <c r="AB47" i="9"/>
  <c r="AB264" i="9"/>
  <c r="AB50" i="9"/>
  <c r="AB142" i="9"/>
  <c r="AB233" i="9"/>
  <c r="AB63" i="9"/>
  <c r="AB96" i="9"/>
  <c r="AB40" i="9"/>
  <c r="AB248" i="9"/>
  <c r="AB43" i="9"/>
  <c r="AB85" i="9"/>
  <c r="AB160" i="9"/>
  <c r="AB272" i="9"/>
  <c r="AB22" i="9"/>
  <c r="AB116" i="9"/>
  <c r="AB280" i="9"/>
  <c r="AB155" i="9"/>
  <c r="AB180" i="9"/>
  <c r="AB269" i="9"/>
  <c r="AB247" i="9"/>
  <c r="AB239" i="9"/>
  <c r="AB288" i="9"/>
  <c r="AB285" i="9"/>
  <c r="AB221" i="9"/>
  <c r="AB32" i="9"/>
  <c r="AB149" i="9"/>
  <c r="AB154" i="9"/>
  <c r="AB203" i="9"/>
  <c r="AB287" i="9"/>
  <c r="AB69" i="9"/>
  <c r="AB28" i="9"/>
  <c r="AB49" i="9"/>
  <c r="AB59" i="9"/>
  <c r="AB178" i="9"/>
  <c r="AB214" i="9"/>
  <c r="AB65" i="9"/>
  <c r="AB140" i="9"/>
  <c r="AB107" i="9"/>
  <c r="AB297" i="9"/>
  <c r="AB267" i="9"/>
  <c r="AB299" i="9"/>
  <c r="AB236" i="9"/>
  <c r="AB42" i="9"/>
  <c r="AB227" i="9"/>
  <c r="AB185" i="9"/>
  <c r="AB294" i="9"/>
  <c r="AB187" i="9"/>
  <c r="AB80" i="9"/>
  <c r="AB17" i="9"/>
  <c r="AB237" i="9"/>
  <c r="AB108" i="9"/>
  <c r="AB249" i="9"/>
  <c r="AB23" i="9"/>
  <c r="AB302" i="9"/>
  <c r="AB202" i="9"/>
  <c r="AB164" i="9"/>
  <c r="AB201" i="9"/>
  <c r="AB19" i="9"/>
  <c r="AB298" i="9"/>
  <c r="AB242" i="9"/>
  <c r="AB119" i="9"/>
  <c r="AB175" i="9"/>
  <c r="AB300" i="9"/>
  <c r="AB114" i="9"/>
  <c r="AB191" i="9"/>
  <c r="AB200" i="9"/>
  <c r="AB127" i="9"/>
  <c r="AB216" i="9"/>
  <c r="AB181" i="9"/>
  <c r="AB90" i="9"/>
  <c r="AB112" i="9"/>
  <c r="AB86" i="9"/>
  <c r="AB208" i="9"/>
  <c r="AB78" i="9"/>
  <c r="AB196" i="9"/>
  <c r="AB4" i="9"/>
  <c r="AB45" i="9"/>
  <c r="AB82" i="9"/>
  <c r="AB15" i="9"/>
  <c r="AB88" i="9"/>
  <c r="AB182" i="9"/>
  <c r="AB161" i="9"/>
  <c r="AB204" i="9"/>
  <c r="AB220" i="9"/>
  <c r="AB324" i="9"/>
  <c r="AB151" i="9"/>
  <c r="AB143" i="9"/>
  <c r="AB293" i="9"/>
  <c r="AB24" i="9"/>
  <c r="AB192" i="9"/>
  <c r="AB103" i="9"/>
  <c r="AB292" i="9"/>
  <c r="AB57" i="9"/>
  <c r="AB72" i="9"/>
  <c r="AB314" i="9"/>
  <c r="AB14" i="9"/>
  <c r="AB222" i="9"/>
  <c r="AB159" i="9"/>
  <c r="AB135" i="9"/>
  <c r="AB197" i="9"/>
  <c r="AB16" i="9"/>
  <c r="AB117" i="9"/>
  <c r="AB150" i="9"/>
  <c r="AB303" i="9"/>
  <c r="AB252" i="9"/>
  <c r="AB93" i="9"/>
  <c r="AB38" i="9"/>
  <c r="AB144" i="9"/>
  <c r="AB104" i="9"/>
  <c r="AB290" i="9"/>
  <c r="AB172" i="9"/>
  <c r="AB46" i="9"/>
  <c r="AB156" i="9"/>
  <c r="AB270" i="9"/>
  <c r="AB111" i="9"/>
  <c r="AB224" i="9"/>
  <c r="AB102" i="9"/>
  <c r="AB195" i="9"/>
  <c r="AB91" i="9"/>
  <c r="AB286" i="9"/>
  <c r="AB9" i="9"/>
  <c r="AB271" i="9"/>
  <c r="AB132" i="9"/>
  <c r="AB282" i="9"/>
  <c r="AB215" i="9"/>
  <c r="AB213" i="9"/>
  <c r="AB291" i="9"/>
  <c r="AB39" i="9"/>
  <c r="AB260" i="9"/>
  <c r="AB81" i="9"/>
  <c r="AB217" i="9"/>
  <c r="AB163" i="9"/>
  <c r="AB310" i="9"/>
  <c r="AB2" i="9"/>
  <c r="AB218" i="9"/>
  <c r="AB37" i="9"/>
  <c r="AB261" i="9"/>
  <c r="AB295" i="9"/>
  <c r="AB71" i="9"/>
  <c r="AB76" i="9"/>
  <c r="AB12" i="9"/>
  <c r="AB168" i="9"/>
  <c r="AB326" i="9"/>
  <c r="AB27" i="9"/>
  <c r="AB194" i="9"/>
  <c r="AB301" i="9"/>
  <c r="AB244" i="9"/>
  <c r="AB44" i="9"/>
  <c r="AB198" i="9"/>
  <c r="AB157" i="9"/>
  <c r="AB95" i="9"/>
  <c r="AB179" i="9"/>
  <c r="AB41" i="9"/>
  <c r="AB97" i="9"/>
  <c r="AB5" i="9"/>
  <c r="AB128" i="9"/>
  <c r="AB274" i="9"/>
  <c r="AB31" i="9"/>
  <c r="AB206" i="9"/>
  <c r="AB323" i="9"/>
  <c r="AB129" i="9"/>
  <c r="AB219" i="9"/>
  <c r="AB169" i="9"/>
  <c r="AB307" i="9"/>
  <c r="AB188" i="9"/>
  <c r="AB210" i="9"/>
  <c r="AB319" i="9"/>
  <c r="AB13" i="9"/>
  <c r="AB306" i="9"/>
  <c r="AB52" i="9"/>
  <c r="AB289" i="9"/>
  <c r="AB283" i="9"/>
  <c r="AB68" i="9"/>
  <c r="AB257" i="9"/>
  <c r="AB70" i="9"/>
  <c r="AB84" i="9"/>
  <c r="AB92" i="9"/>
  <c r="AB226" i="9"/>
  <c r="AB77" i="9"/>
  <c r="AB89" i="9"/>
  <c r="AB199" i="9"/>
  <c r="AB33" i="9"/>
  <c r="AB34" i="9"/>
  <c r="AB152" i="9"/>
  <c r="AB166" i="9"/>
  <c r="AB29" i="9"/>
  <c r="AB125" i="9"/>
  <c r="AB54" i="9"/>
  <c r="AB3" i="9"/>
  <c r="AB232" i="9"/>
  <c r="AB148" i="9"/>
  <c r="AB305" i="9"/>
  <c r="AB167" i="9"/>
  <c r="AB136" i="9"/>
  <c r="AB259" i="9"/>
  <c r="AB250" i="9"/>
  <c r="AB20" i="9"/>
  <c r="AB176" i="9"/>
  <c r="AB7" i="9"/>
  <c r="AB211" i="9"/>
  <c r="AB225" i="9"/>
  <c r="AB158" i="9"/>
  <c r="AB67" i="9"/>
  <c r="AB110" i="9"/>
  <c r="AB130" i="9"/>
  <c r="AB106" i="9"/>
  <c r="AB61" i="9"/>
  <c r="AB10" i="9"/>
  <c r="AB36" i="9"/>
  <c r="AB74" i="9"/>
  <c r="AB124" i="9"/>
  <c r="AB186" i="9"/>
  <c r="AB35" i="9"/>
  <c r="AB66" i="9"/>
  <c r="AB115" i="9"/>
  <c r="AB165" i="9"/>
  <c r="AB316" i="9"/>
  <c r="AB223" i="9"/>
  <c r="AB255" i="9"/>
  <c r="AB235" i="9"/>
  <c r="AB121" i="9"/>
  <c r="AB240" i="9"/>
  <c r="AB308" i="9"/>
  <c r="AB141" i="9"/>
  <c r="AB30" i="9"/>
  <c r="AB276" i="9"/>
  <c r="AB245" i="9"/>
  <c r="AB273" i="9"/>
  <c r="AB253" i="9"/>
  <c r="AB296" i="9"/>
  <c r="AB83" i="9"/>
  <c r="AB266" i="9"/>
  <c r="AB327" i="9"/>
  <c r="AB241" i="9"/>
  <c r="AB53" i="9"/>
  <c r="AB279" i="9"/>
  <c r="AB234" i="9"/>
  <c r="AB137" i="9"/>
  <c r="AB174" i="9"/>
  <c r="AB189" i="9"/>
  <c r="AB209" i="9"/>
  <c r="AB153" i="9"/>
  <c r="AB87" i="9"/>
  <c r="AB243" i="9"/>
  <c r="AB309" i="9"/>
  <c r="AB126" i="9"/>
  <c r="AB251" i="9"/>
  <c r="AB320" i="9"/>
  <c r="AB238" i="9"/>
  <c r="AB258" i="9"/>
  <c r="AB113" i="9"/>
  <c r="AB207" i="9"/>
  <c r="AB246" i="9"/>
  <c r="AB101" i="9"/>
  <c r="AB193" i="9"/>
  <c r="AB123" i="9"/>
  <c r="AB51" i="9"/>
  <c r="AB265" i="9"/>
  <c r="AB317" i="9"/>
  <c r="AB212" i="9"/>
  <c r="Z311" i="9"/>
  <c r="Z281" i="9"/>
  <c r="Z312" i="9"/>
  <c r="Z318" i="9"/>
  <c r="Z26" i="9"/>
  <c r="Z171" i="9"/>
  <c r="Z118" i="9"/>
  <c r="Z55" i="9"/>
  <c r="Z147" i="9"/>
  <c r="Z48" i="9"/>
  <c r="Z315" i="9"/>
  <c r="Z278" i="9"/>
  <c r="Z262" i="9"/>
  <c r="Z254" i="9"/>
  <c r="Z322" i="9"/>
  <c r="Z105" i="9"/>
  <c r="Z6" i="9"/>
  <c r="Z183" i="9"/>
  <c r="Z73" i="9"/>
  <c r="Z62" i="9"/>
  <c r="Z177" i="9"/>
  <c r="Z94" i="9"/>
  <c r="Z325" i="9"/>
  <c r="Z60" i="9"/>
  <c r="Z18" i="9"/>
  <c r="Z173" i="9"/>
  <c r="Z313" i="9"/>
  <c r="Z230" i="9"/>
  <c r="Z229" i="9"/>
  <c r="Z56" i="9"/>
  <c r="Z99" i="9"/>
  <c r="Z131" i="9"/>
  <c r="Z228" i="9"/>
  <c r="Z98" i="9"/>
  <c r="Z25" i="9"/>
  <c r="Z304" i="9"/>
  <c r="Z277" i="9"/>
  <c r="Z231" i="9"/>
  <c r="Z21" i="9"/>
  <c r="Z139" i="9"/>
  <c r="Z268" i="9"/>
  <c r="Z64" i="9"/>
  <c r="Z162" i="9"/>
  <c r="Z133" i="9"/>
  <c r="Z47" i="9"/>
  <c r="Z264" i="9"/>
  <c r="Z50" i="9"/>
  <c r="Z142" i="9"/>
  <c r="Z233" i="9"/>
  <c r="Z63" i="9"/>
  <c r="Z40" i="9"/>
  <c r="Z248" i="9"/>
  <c r="Z43" i="9"/>
  <c r="Z272" i="9"/>
  <c r="Z22" i="9"/>
  <c r="Z280" i="9"/>
  <c r="Z269" i="9"/>
  <c r="Z247" i="9"/>
  <c r="Z239" i="9"/>
  <c r="Z288" i="9"/>
  <c r="Z285" i="9"/>
  <c r="Z221" i="9"/>
  <c r="Z32" i="9"/>
  <c r="Z154" i="9"/>
  <c r="Z203" i="9"/>
  <c r="Z287" i="9"/>
  <c r="Z28" i="9"/>
  <c r="Z49" i="9"/>
  <c r="Z59" i="9"/>
  <c r="Z214" i="9"/>
  <c r="Z107" i="9"/>
  <c r="Z297" i="9"/>
  <c r="Z267" i="9"/>
  <c r="Z299" i="9"/>
  <c r="Z236" i="9"/>
  <c r="Z42" i="9"/>
  <c r="Z227" i="9"/>
  <c r="Z185" i="9"/>
  <c r="Z294" i="9"/>
  <c r="Z17" i="9"/>
  <c r="Z237" i="9"/>
  <c r="Z108" i="9"/>
  <c r="Z249" i="9"/>
  <c r="Z23" i="9"/>
  <c r="Z302" i="9"/>
  <c r="Z202" i="9"/>
  <c r="Z19" i="9"/>
  <c r="Z298" i="9"/>
  <c r="Z242" i="9"/>
  <c r="Z300" i="9"/>
  <c r="Z114" i="9"/>
  <c r="Z191" i="9"/>
  <c r="Z200" i="9"/>
  <c r="Z216" i="9"/>
  <c r="Z208" i="9"/>
  <c r="Z4" i="9"/>
  <c r="Z45" i="9"/>
  <c r="Z82" i="9"/>
  <c r="Z15" i="9"/>
  <c r="Z88" i="9"/>
  <c r="Z161" i="9"/>
  <c r="Z204" i="9"/>
  <c r="Z220" i="9"/>
  <c r="Z324" i="9"/>
  <c r="Z151" i="9"/>
  <c r="Z143" i="9"/>
  <c r="Z24" i="9"/>
  <c r="Z192" i="9"/>
  <c r="Z292" i="9"/>
  <c r="Z57" i="9"/>
  <c r="Z72" i="9"/>
  <c r="Z314" i="9"/>
  <c r="Z14" i="9"/>
  <c r="Z222" i="9"/>
  <c r="Z197" i="9"/>
  <c r="Z16" i="9"/>
  <c r="Z117" i="9"/>
  <c r="Z150" i="9"/>
  <c r="Z303" i="9"/>
  <c r="Z252" i="9"/>
  <c r="Z38" i="9"/>
  <c r="Z144" i="9"/>
  <c r="Z104" i="9"/>
  <c r="Z290" i="9"/>
  <c r="Z172" i="9"/>
  <c r="Z270" i="9"/>
  <c r="Z224" i="9"/>
  <c r="Z286" i="9"/>
  <c r="Z9" i="9"/>
  <c r="Z271" i="9"/>
  <c r="Z132" i="9"/>
  <c r="Z282" i="9"/>
  <c r="Z215" i="9"/>
  <c r="Z213" i="9"/>
  <c r="Z291" i="9"/>
  <c r="Z39" i="9"/>
  <c r="Z260" i="9"/>
  <c r="Z217" i="9"/>
  <c r="Z310" i="9"/>
  <c r="Z2" i="9"/>
  <c r="Z218" i="9"/>
  <c r="Z37" i="9"/>
  <c r="Z261" i="9"/>
  <c r="Z295" i="9"/>
  <c r="Z76" i="9"/>
  <c r="Z12" i="9"/>
  <c r="Z326" i="9"/>
  <c r="Z27" i="9"/>
  <c r="Z244" i="9"/>
  <c r="Z44" i="9"/>
  <c r="Z198" i="9"/>
  <c r="Z95" i="9"/>
  <c r="Z274" i="9"/>
  <c r="Z206" i="9"/>
  <c r="Z323" i="9"/>
  <c r="Z219" i="9"/>
  <c r="Z169" i="9"/>
  <c r="Z307" i="9"/>
  <c r="Z188" i="9"/>
  <c r="Z210" i="9"/>
  <c r="Z319" i="9"/>
  <c r="Z13" i="9"/>
  <c r="Z306" i="9"/>
  <c r="Z52" i="9"/>
  <c r="Z289" i="9"/>
  <c r="Z283" i="9"/>
  <c r="Z84" i="9"/>
  <c r="Z92" i="9"/>
  <c r="Z226" i="9"/>
  <c r="Z89" i="9"/>
  <c r="Z199" i="9"/>
  <c r="Z33" i="9"/>
  <c r="Z34" i="9"/>
  <c r="Z29" i="9"/>
  <c r="Z54" i="9"/>
  <c r="Z3" i="9"/>
  <c r="Z232" i="9"/>
  <c r="Z148" i="9"/>
  <c r="Z305" i="9"/>
  <c r="Z259" i="9"/>
  <c r="Z250" i="9"/>
  <c r="Z20" i="9"/>
  <c r="Z7" i="9"/>
  <c r="Z211" i="9"/>
  <c r="Z225" i="9"/>
  <c r="Z110" i="9"/>
  <c r="Z130" i="9"/>
  <c r="Z61" i="9"/>
  <c r="Z10" i="9"/>
  <c r="Z36" i="9"/>
  <c r="Z35" i="9"/>
  <c r="Z115" i="9"/>
  <c r="Z165" i="9"/>
  <c r="Z316" i="9"/>
  <c r="Z223" i="9"/>
  <c r="Z255" i="9"/>
  <c r="Z235" i="9"/>
  <c r="Z240" i="9"/>
  <c r="Z308" i="9"/>
  <c r="Z30" i="9"/>
  <c r="Z276" i="9"/>
  <c r="Z245" i="9"/>
  <c r="Z273" i="9"/>
  <c r="Z253" i="9"/>
  <c r="Z296" i="9"/>
  <c r="Z266" i="9"/>
  <c r="Z327" i="9"/>
  <c r="Z241" i="9"/>
  <c r="Z53" i="9"/>
  <c r="Z279" i="9"/>
  <c r="Z234" i="9"/>
  <c r="Z174" i="9"/>
  <c r="Z189" i="9"/>
  <c r="Z209" i="9"/>
  <c r="Z243" i="9"/>
  <c r="Z309" i="9"/>
  <c r="Z251" i="9"/>
  <c r="Z320" i="9"/>
  <c r="Z238" i="9"/>
  <c r="Z258" i="9"/>
  <c r="Z207" i="9"/>
  <c r="Z246" i="9"/>
  <c r="Z193" i="9"/>
  <c r="Z123" i="9"/>
  <c r="Z51" i="9"/>
  <c r="Z265" i="9"/>
  <c r="Z317" i="9"/>
  <c r="Z212" i="9"/>
  <c r="Y311" i="9"/>
  <c r="Y281" i="9"/>
  <c r="Y312" i="9"/>
  <c r="Y318" i="9"/>
  <c r="Y26" i="9"/>
  <c r="Y171" i="9"/>
  <c r="Y146" i="9"/>
  <c r="Y79" i="9"/>
  <c r="Y118" i="9"/>
  <c r="Y55" i="9"/>
  <c r="Y147" i="9"/>
  <c r="Y48" i="9"/>
  <c r="Y315" i="9"/>
  <c r="Y190" i="9"/>
  <c r="Y278" i="9"/>
  <c r="Y262" i="9"/>
  <c r="Y11" i="9"/>
  <c r="Y254" i="9"/>
  <c r="Y8" i="9"/>
  <c r="Y263" i="9"/>
  <c r="Y322" i="9"/>
  <c r="Y105" i="9"/>
  <c r="Y184" i="9"/>
  <c r="Y6" i="9"/>
  <c r="Y183" i="9"/>
  <c r="Y73" i="9"/>
  <c r="Y62" i="9"/>
  <c r="Y177" i="9"/>
  <c r="Y94" i="9"/>
  <c r="Y58" i="9"/>
  <c r="Y145" i="9"/>
  <c r="Y325" i="9"/>
  <c r="Y138" i="9"/>
  <c r="Y256" i="9"/>
  <c r="Y109" i="9"/>
  <c r="Y60" i="9"/>
  <c r="Y18" i="9"/>
  <c r="Y321" i="9"/>
  <c r="Y173" i="9"/>
  <c r="Y313" i="9"/>
  <c r="Y75" i="9"/>
  <c r="Y230" i="9"/>
  <c r="Y229" i="9"/>
  <c r="Y56" i="9"/>
  <c r="Y170" i="9"/>
  <c r="Y99" i="9"/>
  <c r="Y205" i="9"/>
  <c r="Y131" i="9"/>
  <c r="Y228" i="9"/>
  <c r="Y275" i="9"/>
  <c r="Y98" i="9"/>
  <c r="Y134" i="9"/>
  <c r="Y284" i="9"/>
  <c r="Y25" i="9"/>
  <c r="Y304" i="9"/>
  <c r="Y277" i="9"/>
  <c r="Y120" i="9"/>
  <c r="Y122" i="9"/>
  <c r="Y231" i="9"/>
  <c r="Y100" i="9"/>
  <c r="Y21" i="9"/>
  <c r="Y139" i="9"/>
  <c r="Y268" i="9"/>
  <c r="Y64" i="9"/>
  <c r="Y162" i="9"/>
  <c r="Y133" i="9"/>
  <c r="Y47" i="9"/>
  <c r="Y264" i="9"/>
  <c r="Y50" i="9"/>
  <c r="Y142" i="9"/>
  <c r="Y233" i="9"/>
  <c r="Y63" i="9"/>
  <c r="Y96" i="9"/>
  <c r="Y40" i="9"/>
  <c r="Y248" i="9"/>
  <c r="Y43" i="9"/>
  <c r="Y85" i="9"/>
  <c r="Y160" i="9"/>
  <c r="Y272" i="9"/>
  <c r="Y22" i="9"/>
  <c r="Y116" i="9"/>
  <c r="Y280" i="9"/>
  <c r="Y155" i="9"/>
  <c r="Y180" i="9"/>
  <c r="Y269" i="9"/>
  <c r="Y247" i="9"/>
  <c r="Y239" i="9"/>
  <c r="Y288" i="9"/>
  <c r="Y285" i="9"/>
  <c r="Y221" i="9"/>
  <c r="Y32" i="9"/>
  <c r="Y149" i="9"/>
  <c r="Y154" i="9"/>
  <c r="Y203" i="9"/>
  <c r="Y287" i="9"/>
  <c r="Y69" i="9"/>
  <c r="Y28" i="9"/>
  <c r="Y49" i="9"/>
  <c r="Y59" i="9"/>
  <c r="Y178" i="9"/>
  <c r="Y214" i="9"/>
  <c r="Y65" i="9"/>
  <c r="Y140" i="9"/>
  <c r="Y107" i="9"/>
  <c r="Y297" i="9"/>
  <c r="Y267" i="9"/>
  <c r="Y299" i="9"/>
  <c r="Y236" i="9"/>
  <c r="Y42" i="9"/>
  <c r="Y227" i="9"/>
  <c r="Y185" i="9"/>
  <c r="Y294" i="9"/>
  <c r="Y187" i="9"/>
  <c r="Y80" i="9"/>
  <c r="Y17" i="9"/>
  <c r="Y237" i="9"/>
  <c r="Y108" i="9"/>
  <c r="Y249" i="9"/>
  <c r="Y23" i="9"/>
  <c r="Y302" i="9"/>
  <c r="Y202" i="9"/>
  <c r="Y164" i="9"/>
  <c r="Y201" i="9"/>
  <c r="Y19" i="9"/>
  <c r="Y298" i="9"/>
  <c r="Y242" i="9"/>
  <c r="Y119" i="9"/>
  <c r="Y175" i="9"/>
  <c r="Y300" i="9"/>
  <c r="Y114" i="9"/>
  <c r="Y191" i="9"/>
  <c r="Y200" i="9"/>
  <c r="Y127" i="9"/>
  <c r="Y216" i="9"/>
  <c r="Y181" i="9"/>
  <c r="Y90" i="9"/>
  <c r="Y112" i="9"/>
  <c r="Y86" i="9"/>
  <c r="Y208" i="9"/>
  <c r="Y78" i="9"/>
  <c r="Y196" i="9"/>
  <c r="Y4" i="9"/>
  <c r="Y45" i="9"/>
  <c r="Y82" i="9"/>
  <c r="Y15" i="9"/>
  <c r="Y88" i="9"/>
  <c r="Y182" i="9"/>
  <c r="Y161" i="9"/>
  <c r="Y204" i="9"/>
  <c r="Y220" i="9"/>
  <c r="Y324" i="9"/>
  <c r="Y151" i="9"/>
  <c r="Y143" i="9"/>
  <c r="Y293" i="9"/>
  <c r="Y24" i="9"/>
  <c r="Y192" i="9"/>
  <c r="Y103" i="9"/>
  <c r="Y292" i="9"/>
  <c r="Y57" i="9"/>
  <c r="Y72" i="9"/>
  <c r="Y314" i="9"/>
  <c r="Y14" i="9"/>
  <c r="Y222" i="9"/>
  <c r="Y159" i="9"/>
  <c r="Y135" i="9"/>
  <c r="Y197" i="9"/>
  <c r="Y16" i="9"/>
  <c r="Y117" i="9"/>
  <c r="Y150" i="9"/>
  <c r="Y303" i="9"/>
  <c r="Y252" i="9"/>
  <c r="Y93" i="9"/>
  <c r="Y38" i="9"/>
  <c r="Y144" i="9"/>
  <c r="Y104" i="9"/>
  <c r="Y290" i="9"/>
  <c r="Y172" i="9"/>
  <c r="Y46" i="9"/>
  <c r="Y156" i="9"/>
  <c r="Y270" i="9"/>
  <c r="Y111" i="9"/>
  <c r="Y224" i="9"/>
  <c r="Y102" i="9"/>
  <c r="Y195" i="9"/>
  <c r="Y91" i="9"/>
  <c r="Y286" i="9"/>
  <c r="Y9" i="9"/>
  <c r="Y271" i="9"/>
  <c r="Y132" i="9"/>
  <c r="Y282" i="9"/>
  <c r="Y215" i="9"/>
  <c r="Y213" i="9"/>
  <c r="Y291" i="9"/>
  <c r="Y39" i="9"/>
  <c r="Y260" i="9"/>
  <c r="Y81" i="9"/>
  <c r="Y217" i="9"/>
  <c r="Y163" i="9"/>
  <c r="Y310" i="9"/>
  <c r="Y2" i="9"/>
  <c r="Y218" i="9"/>
  <c r="Y37" i="9"/>
  <c r="Y261" i="9"/>
  <c r="Y295" i="9"/>
  <c r="Y71" i="9"/>
  <c r="Y76" i="9"/>
  <c r="Y12" i="9"/>
  <c r="Y168" i="9"/>
  <c r="Y326" i="9"/>
  <c r="Y27" i="9"/>
  <c r="Y194" i="9"/>
  <c r="Y301" i="9"/>
  <c r="Y244" i="9"/>
  <c r="Y44" i="9"/>
  <c r="Y198" i="9"/>
  <c r="Y157" i="9"/>
  <c r="Y95" i="9"/>
  <c r="Y179" i="9"/>
  <c r="Y41" i="9"/>
  <c r="Y97" i="9"/>
  <c r="Y5" i="9"/>
  <c r="Y128" i="9"/>
  <c r="Y274" i="9"/>
  <c r="Y31" i="9"/>
  <c r="Y206" i="9"/>
  <c r="Y323" i="9"/>
  <c r="Y129" i="9"/>
  <c r="Y219" i="9"/>
  <c r="Y169" i="9"/>
  <c r="Y307" i="9"/>
  <c r="Y188" i="9"/>
  <c r="Y210" i="9"/>
  <c r="Y319" i="9"/>
  <c r="Y13" i="9"/>
  <c r="Y306" i="9"/>
  <c r="Y52" i="9"/>
  <c r="Y289" i="9"/>
  <c r="Y283" i="9"/>
  <c r="Y68" i="9"/>
  <c r="Y257" i="9"/>
  <c r="Y70" i="9"/>
  <c r="Y84" i="9"/>
  <c r="Y92" i="9"/>
  <c r="Y226" i="9"/>
  <c r="Y77" i="9"/>
  <c r="Y89" i="9"/>
  <c r="Y199" i="9"/>
  <c r="Y33" i="9"/>
  <c r="Y34" i="9"/>
  <c r="Y152" i="9"/>
  <c r="Y166" i="9"/>
  <c r="Y29" i="9"/>
  <c r="Y125" i="9"/>
  <c r="Y54" i="9"/>
  <c r="Y3" i="9"/>
  <c r="Y232" i="9"/>
  <c r="Y148" i="9"/>
  <c r="Y305" i="9"/>
  <c r="Y167" i="9"/>
  <c r="Y136" i="9"/>
  <c r="Y259" i="9"/>
  <c r="Y250" i="9"/>
  <c r="Y20" i="9"/>
  <c r="Y176" i="9"/>
  <c r="Y7" i="9"/>
  <c r="Y211" i="9"/>
  <c r="Y225" i="9"/>
  <c r="Y158" i="9"/>
  <c r="Y67" i="9"/>
  <c r="Y110" i="9"/>
  <c r="Y130" i="9"/>
  <c r="Y106" i="9"/>
  <c r="Y61" i="9"/>
  <c r="Y10" i="9"/>
  <c r="Y36" i="9"/>
  <c r="Y74" i="9"/>
  <c r="Y124" i="9"/>
  <c r="Y186" i="9"/>
  <c r="Y35" i="9"/>
  <c r="Y66" i="9"/>
  <c r="Y115" i="9"/>
  <c r="Y165" i="9"/>
  <c r="Y316" i="9"/>
  <c r="Y223" i="9"/>
  <c r="Y255" i="9"/>
  <c r="Y235" i="9"/>
  <c r="Y121" i="9"/>
  <c r="Y240" i="9"/>
  <c r="Y308" i="9"/>
  <c r="Y141" i="9"/>
  <c r="Y30" i="9"/>
  <c r="Y276" i="9"/>
  <c r="Y245" i="9"/>
  <c r="Y273" i="9"/>
  <c r="Y253" i="9"/>
  <c r="Y296" i="9"/>
  <c r="Y83" i="9"/>
  <c r="Y266" i="9"/>
  <c r="Y327" i="9"/>
  <c r="Y241" i="9"/>
  <c r="Y53" i="9"/>
  <c r="Y279" i="9"/>
  <c r="Y234" i="9"/>
  <c r="Y137" i="9"/>
  <c r="Y174" i="9"/>
  <c r="Y189" i="9"/>
  <c r="Y209" i="9"/>
  <c r="Y153" i="9"/>
  <c r="Y87" i="9"/>
  <c r="Y243" i="9"/>
  <c r="Y309" i="9"/>
  <c r="Y126" i="9"/>
  <c r="Y251" i="9"/>
  <c r="Y320" i="9"/>
  <c r="Y238" i="9"/>
  <c r="Y258" i="9"/>
  <c r="Y113" i="9"/>
  <c r="Y207" i="9"/>
  <c r="Y246" i="9"/>
  <c r="Y101" i="9"/>
  <c r="Y193" i="9"/>
  <c r="Y123" i="9"/>
  <c r="Y51" i="9"/>
  <c r="Y265" i="9"/>
  <c r="Y317" i="9"/>
  <c r="Y212" i="9"/>
  <c r="W311" i="9" a="1"/>
  <c r="W311" i="9" s="1"/>
  <c r="X311" i="9" s="1"/>
  <c r="W281" i="9" a="1"/>
  <c r="W281" i="9" s="1"/>
  <c r="X281" i="9" s="1"/>
  <c r="W312" i="9" a="1"/>
  <c r="W312" i="9" s="1"/>
  <c r="X312" i="9" s="1"/>
  <c r="W318" i="9" a="1"/>
  <c r="W318" i="9" s="1"/>
  <c r="X318" i="9" s="1"/>
  <c r="W26" i="9" a="1"/>
  <c r="W26" i="9" s="1"/>
  <c r="X26" i="9" s="1"/>
  <c r="W171" i="9" a="1"/>
  <c r="W171" i="9" s="1"/>
  <c r="X171" i="9" s="1"/>
  <c r="W146" i="9" a="1"/>
  <c r="W146" i="9" s="1"/>
  <c r="X146" i="9" s="1"/>
  <c r="Z146" i="9" s="1"/>
  <c r="W79" i="9" a="1"/>
  <c r="W79" i="9" s="1"/>
  <c r="X79" i="9" s="1"/>
  <c r="Z79" i="9" s="1"/>
  <c r="W118" i="9" a="1"/>
  <c r="W118" i="9" s="1"/>
  <c r="X118" i="9" s="1"/>
  <c r="W55" i="9" a="1"/>
  <c r="W55" i="9" s="1"/>
  <c r="X55" i="9" s="1"/>
  <c r="W147" i="9" a="1"/>
  <c r="W147" i="9" s="1"/>
  <c r="X147" i="9" s="1"/>
  <c r="W48" i="9" a="1"/>
  <c r="W48" i="9" s="1"/>
  <c r="X48" i="9" s="1"/>
  <c r="W315" i="9" a="1"/>
  <c r="W315" i="9" s="1"/>
  <c r="X315" i="9" s="1"/>
  <c r="W190" i="9" a="1"/>
  <c r="W190" i="9" s="1"/>
  <c r="X190" i="9" s="1"/>
  <c r="Z190" i="9" s="1"/>
  <c r="W278" i="9" a="1"/>
  <c r="W278" i="9" s="1"/>
  <c r="X278" i="9" s="1"/>
  <c r="W262" i="9" a="1"/>
  <c r="W262" i="9" s="1"/>
  <c r="X262" i="9" s="1"/>
  <c r="W11" i="9" a="1"/>
  <c r="W11" i="9" s="1"/>
  <c r="X11" i="9" s="1"/>
  <c r="Z11" i="9" s="1"/>
  <c r="W254" i="9" a="1"/>
  <c r="W254" i="9" s="1"/>
  <c r="X254" i="9" s="1"/>
  <c r="W8" i="9" a="1"/>
  <c r="W8" i="9" s="1"/>
  <c r="X8" i="9" s="1"/>
  <c r="W263" i="9" a="1"/>
  <c r="W263" i="9" s="1"/>
  <c r="X263" i="9" s="1"/>
  <c r="W322" i="9" a="1"/>
  <c r="W322" i="9" s="1"/>
  <c r="X322" i="9" s="1"/>
  <c r="W105" i="9" a="1"/>
  <c r="W105" i="9" s="1"/>
  <c r="X105" i="9" s="1"/>
  <c r="W184" i="9" a="1"/>
  <c r="W184" i="9" s="1"/>
  <c r="X184" i="9" s="1"/>
  <c r="W6" i="9" a="1"/>
  <c r="W6" i="9" s="1"/>
  <c r="X6" i="9" s="1"/>
  <c r="W183" i="9" a="1"/>
  <c r="W183" i="9" s="1"/>
  <c r="X183" i="9" s="1"/>
  <c r="W73" i="9" a="1"/>
  <c r="W73" i="9" s="1"/>
  <c r="X73" i="9" s="1"/>
  <c r="W62" i="9" a="1"/>
  <c r="W62" i="9" s="1"/>
  <c r="X62" i="9" s="1"/>
  <c r="W177" i="9" a="1"/>
  <c r="W177" i="9" s="1"/>
  <c r="X177" i="9" s="1"/>
  <c r="W94" i="9" a="1"/>
  <c r="W94" i="9" s="1"/>
  <c r="X94" i="9" s="1"/>
  <c r="W58" i="9" a="1"/>
  <c r="W58" i="9" s="1"/>
  <c r="X58" i="9" s="1"/>
  <c r="Z58" i="9" s="1"/>
  <c r="W145" i="9" a="1"/>
  <c r="W145" i="9" s="1"/>
  <c r="X145" i="9" s="1"/>
  <c r="Z145" i="9" s="1"/>
  <c r="W325" i="9" a="1"/>
  <c r="W325" i="9" s="1"/>
  <c r="X325" i="9" s="1"/>
  <c r="W138" i="9" a="1"/>
  <c r="W138" i="9" s="1"/>
  <c r="X138" i="9" s="1"/>
  <c r="Z138" i="9" s="1"/>
  <c r="W256" i="9" a="1"/>
  <c r="W256" i="9" s="1"/>
  <c r="X256" i="9" s="1"/>
  <c r="Z256" i="9" s="1"/>
  <c r="W109" i="9" a="1"/>
  <c r="W109" i="9" s="1"/>
  <c r="X109" i="9" s="1"/>
  <c r="W60" i="9" a="1"/>
  <c r="W60" i="9" s="1"/>
  <c r="X60" i="9" s="1"/>
  <c r="W18" i="9" a="1"/>
  <c r="W18" i="9" s="1"/>
  <c r="X18" i="9" s="1"/>
  <c r="W321" i="9" a="1"/>
  <c r="W321" i="9" s="1"/>
  <c r="X321" i="9" s="1"/>
  <c r="Z321" i="9" s="1"/>
  <c r="W173" i="9" a="1"/>
  <c r="W173" i="9" s="1"/>
  <c r="X173" i="9" s="1"/>
  <c r="W313" i="9" a="1"/>
  <c r="W313" i="9" s="1"/>
  <c r="X313" i="9" s="1"/>
  <c r="W75" i="9" a="1"/>
  <c r="W75" i="9" s="1"/>
  <c r="X75" i="9" s="1"/>
  <c r="Z75" i="9" s="1"/>
  <c r="W230" i="9" a="1"/>
  <c r="W230" i="9" s="1"/>
  <c r="X230" i="9" s="1"/>
  <c r="W229" i="9" a="1"/>
  <c r="W229" i="9" s="1"/>
  <c r="X229" i="9" s="1"/>
  <c r="W56" i="9" a="1"/>
  <c r="W56" i="9" s="1"/>
  <c r="X56" i="9" s="1"/>
  <c r="W170" i="9" a="1"/>
  <c r="W170" i="9" s="1"/>
  <c r="X170" i="9" s="1"/>
  <c r="Z170" i="9" s="1"/>
  <c r="W99" i="9" a="1"/>
  <c r="W99" i="9" s="1"/>
  <c r="X99" i="9" s="1"/>
  <c r="W205" i="9" a="1"/>
  <c r="W205" i="9" s="1"/>
  <c r="X205" i="9" s="1"/>
  <c r="W131" i="9" a="1"/>
  <c r="W131" i="9" s="1"/>
  <c r="X131" i="9" s="1"/>
  <c r="W228" i="9" a="1"/>
  <c r="W228" i="9" s="1"/>
  <c r="X228" i="9" s="1"/>
  <c r="W275" i="9" a="1"/>
  <c r="W275" i="9" s="1"/>
  <c r="X275" i="9" s="1"/>
  <c r="Z275" i="9" s="1"/>
  <c r="W98" i="9" a="1"/>
  <c r="W98" i="9" s="1"/>
  <c r="X98" i="9" s="1"/>
  <c r="W134" i="9" a="1"/>
  <c r="W134" i="9" s="1"/>
  <c r="X134" i="9" s="1"/>
  <c r="W284" i="9" a="1"/>
  <c r="W284" i="9" s="1"/>
  <c r="X284" i="9" s="1"/>
  <c r="Z284" i="9" s="1"/>
  <c r="W25" i="9" a="1"/>
  <c r="W25" i="9" s="1"/>
  <c r="X25" i="9" s="1"/>
  <c r="W304" i="9" a="1"/>
  <c r="W304" i="9" s="1"/>
  <c r="X304" i="9" s="1"/>
  <c r="W277" i="9" a="1"/>
  <c r="W277" i="9" s="1"/>
  <c r="X277" i="9" s="1"/>
  <c r="W120" i="9" a="1"/>
  <c r="W120" i="9" s="1"/>
  <c r="X120" i="9" s="1"/>
  <c r="Z120" i="9" s="1"/>
  <c r="W122" i="9" a="1"/>
  <c r="W122" i="9" s="1"/>
  <c r="X122" i="9" s="1"/>
  <c r="Z122" i="9" s="1"/>
  <c r="W231" i="9" a="1"/>
  <c r="W231" i="9" s="1"/>
  <c r="X231" i="9" s="1"/>
  <c r="W100" i="9" a="1"/>
  <c r="W100" i="9" s="1"/>
  <c r="X100" i="9" s="1"/>
  <c r="Z100" i="9" s="1"/>
  <c r="W21" i="9" a="1"/>
  <c r="W21" i="9" s="1"/>
  <c r="X21" i="9" s="1"/>
  <c r="W139" i="9" a="1"/>
  <c r="W139" i="9" s="1"/>
  <c r="X139" i="9" s="1"/>
  <c r="W268" i="9" a="1"/>
  <c r="W268" i="9" s="1"/>
  <c r="X268" i="9" s="1"/>
  <c r="W64" i="9" a="1"/>
  <c r="W64" i="9" s="1"/>
  <c r="X64" i="9" s="1"/>
  <c r="W162" i="9" a="1"/>
  <c r="W162" i="9" s="1"/>
  <c r="X162" i="9" s="1"/>
  <c r="W133" i="9" a="1"/>
  <c r="W133" i="9" s="1"/>
  <c r="X133" i="9" s="1"/>
  <c r="W47" i="9" a="1"/>
  <c r="W47" i="9" s="1"/>
  <c r="X47" i="9" s="1"/>
  <c r="W264" i="9" a="1"/>
  <c r="W264" i="9" s="1"/>
  <c r="X264" i="9" s="1"/>
  <c r="W50" i="9" a="1"/>
  <c r="W50" i="9" s="1"/>
  <c r="X50" i="9" s="1"/>
  <c r="W142" i="9" a="1"/>
  <c r="W142" i="9" s="1"/>
  <c r="X142" i="9" s="1"/>
  <c r="W233" i="9" a="1"/>
  <c r="W233" i="9" s="1"/>
  <c r="X233" i="9" s="1"/>
  <c r="W63" i="9" a="1"/>
  <c r="W63" i="9" s="1"/>
  <c r="X63" i="9" s="1"/>
  <c r="W96" i="9" a="1"/>
  <c r="W96" i="9" s="1"/>
  <c r="X96" i="9" s="1"/>
  <c r="Z96" i="9" s="1"/>
  <c r="W40" i="9" a="1"/>
  <c r="W40" i="9" s="1"/>
  <c r="X40" i="9" s="1"/>
  <c r="W248" i="9" a="1"/>
  <c r="W248" i="9" s="1"/>
  <c r="X248" i="9" s="1"/>
  <c r="W43" i="9" a="1"/>
  <c r="W43" i="9" s="1"/>
  <c r="X43" i="9" s="1"/>
  <c r="W85" i="9" a="1"/>
  <c r="W85" i="9" s="1"/>
  <c r="X85" i="9" s="1"/>
  <c r="Z85" i="9" s="1"/>
  <c r="W160" i="9" a="1"/>
  <c r="W160" i="9" s="1"/>
  <c r="X160" i="9" s="1"/>
  <c r="Z160" i="9" s="1"/>
  <c r="W272" i="9" a="1"/>
  <c r="W272" i="9" s="1"/>
  <c r="X272" i="9" s="1"/>
  <c r="W22" i="9" a="1"/>
  <c r="W22" i="9" s="1"/>
  <c r="X22" i="9" s="1"/>
  <c r="W116" i="9" a="1"/>
  <c r="W116" i="9" s="1"/>
  <c r="X116" i="9" s="1"/>
  <c r="Z116" i="9" s="1"/>
  <c r="W280" i="9" a="1"/>
  <c r="W280" i="9" s="1"/>
  <c r="X280" i="9" s="1"/>
  <c r="W155" i="9" a="1"/>
  <c r="W155" i="9" s="1"/>
  <c r="X155" i="9" s="1"/>
  <c r="W180" i="9" a="1"/>
  <c r="W180" i="9" s="1"/>
  <c r="X180" i="9" s="1"/>
  <c r="W269" i="9" a="1"/>
  <c r="W269" i="9" s="1"/>
  <c r="X269" i="9" s="1"/>
  <c r="W247" i="9" a="1"/>
  <c r="W247" i="9" s="1"/>
  <c r="X247" i="9" s="1"/>
  <c r="W239" i="9" a="1"/>
  <c r="W239" i="9" s="1"/>
  <c r="X239" i="9" s="1"/>
  <c r="W288" i="9" a="1"/>
  <c r="W288" i="9" s="1"/>
  <c r="X288" i="9" s="1"/>
  <c r="W285" i="9" a="1"/>
  <c r="W285" i="9" s="1"/>
  <c r="X285" i="9" s="1"/>
  <c r="W221" i="9" a="1"/>
  <c r="W221" i="9" s="1"/>
  <c r="X221" i="9" s="1"/>
  <c r="W32" i="9" a="1"/>
  <c r="W32" i="9" s="1"/>
  <c r="X32" i="9" s="1"/>
  <c r="W149" i="9" a="1"/>
  <c r="W149" i="9" s="1"/>
  <c r="X149" i="9" s="1"/>
  <c r="W154" i="9" a="1"/>
  <c r="W154" i="9" s="1"/>
  <c r="X154" i="9" s="1"/>
  <c r="W203" i="9" a="1"/>
  <c r="W203" i="9" s="1"/>
  <c r="X203" i="9" s="1"/>
  <c r="W287" i="9" a="1"/>
  <c r="W287" i="9" s="1"/>
  <c r="X287" i="9" s="1"/>
  <c r="W69" i="9" a="1"/>
  <c r="W69" i="9" s="1"/>
  <c r="X69" i="9" s="1"/>
  <c r="Z69" i="9" s="1"/>
  <c r="W28" i="9" a="1"/>
  <c r="W28" i="9" s="1"/>
  <c r="X28" i="9" s="1"/>
  <c r="W49" i="9" a="1"/>
  <c r="W49" i="9" s="1"/>
  <c r="X49" i="9" s="1"/>
  <c r="W59" i="9" a="1"/>
  <c r="W59" i="9" s="1"/>
  <c r="X59" i="9" s="1"/>
  <c r="W178" i="9" a="1"/>
  <c r="W178" i="9" s="1"/>
  <c r="X178" i="9" s="1"/>
  <c r="W214" i="9" a="1"/>
  <c r="W214" i="9" s="1"/>
  <c r="X214" i="9" s="1"/>
  <c r="W65" i="9" a="1"/>
  <c r="W65" i="9" s="1"/>
  <c r="X65" i="9" s="1"/>
  <c r="Z65" i="9" s="1"/>
  <c r="W140" i="9" a="1"/>
  <c r="W140" i="9" s="1"/>
  <c r="X140" i="9" s="1"/>
  <c r="W107" i="9" a="1"/>
  <c r="W107" i="9" s="1"/>
  <c r="X107" i="9" s="1"/>
  <c r="W297" i="9" a="1"/>
  <c r="W297" i="9" s="1"/>
  <c r="X297" i="9" s="1"/>
  <c r="W267" i="9" a="1"/>
  <c r="W267" i="9" s="1"/>
  <c r="X267" i="9" s="1"/>
  <c r="W299" i="9" a="1"/>
  <c r="W299" i="9" s="1"/>
  <c r="X299" i="9" s="1"/>
  <c r="W236" i="9" a="1"/>
  <c r="W236" i="9" s="1"/>
  <c r="X236" i="9" s="1"/>
  <c r="W42" i="9" a="1"/>
  <c r="W42" i="9" s="1"/>
  <c r="X42" i="9" s="1"/>
  <c r="W227" i="9" a="1"/>
  <c r="W227" i="9" s="1"/>
  <c r="X227" i="9" s="1"/>
  <c r="W185" i="9" a="1"/>
  <c r="W185" i="9" s="1"/>
  <c r="X185" i="9" s="1"/>
  <c r="W294" i="9" a="1"/>
  <c r="W294" i="9" s="1"/>
  <c r="X294" i="9" s="1"/>
  <c r="W187" i="9" a="1"/>
  <c r="W187" i="9" s="1"/>
  <c r="X187" i="9" s="1"/>
  <c r="Z187" i="9" s="1"/>
  <c r="W80" i="9" a="1"/>
  <c r="W80" i="9" s="1"/>
  <c r="X80" i="9" s="1"/>
  <c r="Z80" i="9" s="1"/>
  <c r="W17" i="9" a="1"/>
  <c r="W17" i="9" s="1"/>
  <c r="X17" i="9" s="1"/>
  <c r="W237" i="9" a="1"/>
  <c r="W237" i="9" s="1"/>
  <c r="X237" i="9" s="1"/>
  <c r="W108" i="9" a="1"/>
  <c r="W108" i="9" s="1"/>
  <c r="X108" i="9" s="1"/>
  <c r="W249" i="9" a="1"/>
  <c r="W249" i="9" s="1"/>
  <c r="X249" i="9" s="1"/>
  <c r="W23" i="9" a="1"/>
  <c r="W23" i="9" s="1"/>
  <c r="X23" i="9" s="1"/>
  <c r="W302" i="9" a="1"/>
  <c r="W302" i="9" s="1"/>
  <c r="X302" i="9" s="1"/>
  <c r="W202" i="9" a="1"/>
  <c r="W202" i="9" s="1"/>
  <c r="X202" i="9" s="1"/>
  <c r="W164" i="9" a="1"/>
  <c r="W164" i="9" s="1"/>
  <c r="X164" i="9" s="1"/>
  <c r="Z164" i="9" s="1"/>
  <c r="W201" i="9" a="1"/>
  <c r="W201" i="9" s="1"/>
  <c r="X201" i="9" s="1"/>
  <c r="W19" i="9" a="1"/>
  <c r="W19" i="9" s="1"/>
  <c r="X19" i="9" s="1"/>
  <c r="W298" i="9" a="1"/>
  <c r="W298" i="9" s="1"/>
  <c r="X298" i="9" s="1"/>
  <c r="W242" i="9" a="1"/>
  <c r="W242" i="9" s="1"/>
  <c r="X242" i="9" s="1"/>
  <c r="W119" i="9" a="1"/>
  <c r="W119" i="9" s="1"/>
  <c r="X119" i="9" s="1"/>
  <c r="W175" i="9" a="1"/>
  <c r="W175" i="9" s="1"/>
  <c r="X175" i="9" s="1"/>
  <c r="Z175" i="9" s="1"/>
  <c r="W300" i="9" a="1"/>
  <c r="W300" i="9" s="1"/>
  <c r="X300" i="9" s="1"/>
  <c r="W114" i="9" a="1"/>
  <c r="W114" i="9" s="1"/>
  <c r="X114" i="9" s="1"/>
  <c r="W191" i="9" a="1"/>
  <c r="W191" i="9" s="1"/>
  <c r="X191" i="9" s="1"/>
  <c r="W200" i="9" a="1"/>
  <c r="W200" i="9" s="1"/>
  <c r="X200" i="9" s="1"/>
  <c r="W127" i="9" a="1"/>
  <c r="W127" i="9" s="1"/>
  <c r="X127" i="9" s="1"/>
  <c r="Z127" i="9" s="1"/>
  <c r="W216" i="9" a="1"/>
  <c r="W216" i="9" s="1"/>
  <c r="X216" i="9" s="1"/>
  <c r="W181" i="9" a="1"/>
  <c r="W181" i="9" s="1"/>
  <c r="X181" i="9" s="1"/>
  <c r="Z181" i="9" s="1"/>
  <c r="W90" i="9" a="1"/>
  <c r="W90" i="9" s="1"/>
  <c r="X90" i="9" s="1"/>
  <c r="Z90" i="9" s="1"/>
  <c r="W112" i="9" a="1"/>
  <c r="W112" i="9" s="1"/>
  <c r="X112" i="9" s="1"/>
  <c r="Z112" i="9" s="1"/>
  <c r="W86" i="9" a="1"/>
  <c r="W86" i="9" s="1"/>
  <c r="X86" i="9" s="1"/>
  <c r="Z86" i="9" s="1"/>
  <c r="W208" i="9" a="1"/>
  <c r="W208" i="9" s="1"/>
  <c r="X208" i="9" s="1"/>
  <c r="W78" i="9" a="1"/>
  <c r="W78" i="9" s="1"/>
  <c r="X78" i="9" s="1"/>
  <c r="W196" i="9" a="1"/>
  <c r="W196" i="9" s="1"/>
  <c r="X196" i="9" s="1"/>
  <c r="Z196" i="9" s="1"/>
  <c r="W4" i="9" a="1"/>
  <c r="W4" i="9" s="1"/>
  <c r="X4" i="9" s="1"/>
  <c r="W45" i="9" a="1"/>
  <c r="W45" i="9" s="1"/>
  <c r="X45" i="9" s="1"/>
  <c r="W82" i="9" a="1"/>
  <c r="W82" i="9" s="1"/>
  <c r="X82" i="9" s="1"/>
  <c r="W15" i="9" a="1"/>
  <c r="W15" i="9" s="1"/>
  <c r="X15" i="9" s="1"/>
  <c r="W88" i="9" a="1"/>
  <c r="W88" i="9" s="1"/>
  <c r="X88" i="9" s="1"/>
  <c r="W182" i="9" a="1"/>
  <c r="W182" i="9" s="1"/>
  <c r="X182" i="9" s="1"/>
  <c r="W161" i="9" a="1"/>
  <c r="W161" i="9" s="1"/>
  <c r="X161" i="9" s="1"/>
  <c r="W204" i="9" a="1"/>
  <c r="W204" i="9" s="1"/>
  <c r="X204" i="9" s="1"/>
  <c r="W220" i="9" a="1"/>
  <c r="W220" i="9" s="1"/>
  <c r="X220" i="9" s="1"/>
  <c r="W324" i="9" a="1"/>
  <c r="W324" i="9" s="1"/>
  <c r="X324" i="9" s="1"/>
  <c r="W151" i="9" a="1"/>
  <c r="W151" i="9" s="1"/>
  <c r="X151" i="9" s="1"/>
  <c r="W143" i="9" a="1"/>
  <c r="W143" i="9" s="1"/>
  <c r="X143" i="9" s="1"/>
  <c r="W293" i="9" a="1"/>
  <c r="W293" i="9" s="1"/>
  <c r="X293" i="9" s="1"/>
  <c r="Z293" i="9" s="1"/>
  <c r="W24" i="9" a="1"/>
  <c r="W24" i="9" s="1"/>
  <c r="X24" i="9" s="1"/>
  <c r="W192" i="9" a="1"/>
  <c r="W192" i="9" s="1"/>
  <c r="X192" i="9" s="1"/>
  <c r="W103" i="9" a="1"/>
  <c r="W103" i="9" s="1"/>
  <c r="X103" i="9" s="1"/>
  <c r="Z103" i="9" s="1"/>
  <c r="W292" i="9" a="1"/>
  <c r="W292" i="9" s="1"/>
  <c r="X292" i="9" s="1"/>
  <c r="W57" i="9" a="1"/>
  <c r="W57" i="9" s="1"/>
  <c r="X57" i="9" s="1"/>
  <c r="W72" i="9" a="1"/>
  <c r="W72" i="9" s="1"/>
  <c r="X72" i="9" s="1"/>
  <c r="W314" i="9" a="1"/>
  <c r="W314" i="9" s="1"/>
  <c r="X314" i="9" s="1"/>
  <c r="W14" i="9" a="1"/>
  <c r="W14" i="9" s="1"/>
  <c r="X14" i="9" s="1"/>
  <c r="W222" i="9" a="1"/>
  <c r="W222" i="9" s="1"/>
  <c r="X222" i="9" s="1"/>
  <c r="W159" i="9" a="1"/>
  <c r="W159" i="9" s="1"/>
  <c r="X159" i="9" s="1"/>
  <c r="W135" i="9" a="1"/>
  <c r="W135" i="9" s="1"/>
  <c r="X135" i="9" s="1"/>
  <c r="Z135" i="9" s="1"/>
  <c r="W197" i="9" a="1"/>
  <c r="W197" i="9" s="1"/>
  <c r="X197" i="9" s="1"/>
  <c r="W16" i="9" a="1"/>
  <c r="W16" i="9" s="1"/>
  <c r="X16" i="9" s="1"/>
  <c r="W117" i="9" a="1"/>
  <c r="W117" i="9" s="1"/>
  <c r="X117" i="9" s="1"/>
  <c r="W150" i="9" a="1"/>
  <c r="W150" i="9" s="1"/>
  <c r="X150" i="9" s="1"/>
  <c r="W303" i="9" a="1"/>
  <c r="W303" i="9" s="1"/>
  <c r="X303" i="9" s="1"/>
  <c r="W252" i="9" a="1"/>
  <c r="W252" i="9" s="1"/>
  <c r="X252" i="9" s="1"/>
  <c r="W93" i="9" a="1"/>
  <c r="W93" i="9" s="1"/>
  <c r="X93" i="9" s="1"/>
  <c r="W38" i="9" a="1"/>
  <c r="W38" i="9" s="1"/>
  <c r="X38" i="9" s="1"/>
  <c r="W144" i="9" a="1"/>
  <c r="W144" i="9" s="1"/>
  <c r="X144" i="9" s="1"/>
  <c r="W104" i="9" a="1"/>
  <c r="W104" i="9" s="1"/>
  <c r="X104" i="9" s="1"/>
  <c r="W290" i="9" a="1"/>
  <c r="W290" i="9" s="1"/>
  <c r="X290" i="9" s="1"/>
  <c r="W172" i="9" a="1"/>
  <c r="W172" i="9" s="1"/>
  <c r="X172" i="9" s="1"/>
  <c r="W46" i="9" a="1"/>
  <c r="W46" i="9" s="1"/>
  <c r="X46" i="9" s="1"/>
  <c r="W156" i="9" a="1"/>
  <c r="W156" i="9" s="1"/>
  <c r="X156" i="9" s="1"/>
  <c r="W270" i="9" a="1"/>
  <c r="W270" i="9" s="1"/>
  <c r="X270" i="9" s="1"/>
  <c r="W111" i="9" a="1"/>
  <c r="W111" i="9" s="1"/>
  <c r="X111" i="9" s="1"/>
  <c r="Z111" i="9" s="1"/>
  <c r="W224" i="9" a="1"/>
  <c r="W224" i="9" s="1"/>
  <c r="X224" i="9" s="1"/>
  <c r="W102" i="9" a="1"/>
  <c r="W102" i="9" s="1"/>
  <c r="X102" i="9" s="1"/>
  <c r="Z102" i="9" s="1"/>
  <c r="W195" i="9" a="1"/>
  <c r="W195" i="9" s="1"/>
  <c r="X195" i="9" s="1"/>
  <c r="Z195" i="9" s="1"/>
  <c r="W91" i="9" a="1"/>
  <c r="W91" i="9" s="1"/>
  <c r="X91" i="9" s="1"/>
  <c r="Z91" i="9" s="1"/>
  <c r="W286" i="9" a="1"/>
  <c r="W286" i="9" s="1"/>
  <c r="X286" i="9" s="1"/>
  <c r="W9" i="9" a="1"/>
  <c r="W9" i="9" s="1"/>
  <c r="X9" i="9" s="1"/>
  <c r="W271" i="9" a="1"/>
  <c r="W271" i="9" s="1"/>
  <c r="X271" i="9" s="1"/>
  <c r="W132" i="9" a="1"/>
  <c r="W132" i="9" s="1"/>
  <c r="X132" i="9" s="1"/>
  <c r="W282" i="9" a="1"/>
  <c r="W282" i="9" s="1"/>
  <c r="X282" i="9" s="1"/>
  <c r="W215" i="9" a="1"/>
  <c r="W215" i="9" s="1"/>
  <c r="X215" i="9" s="1"/>
  <c r="W213" i="9" a="1"/>
  <c r="W213" i="9" s="1"/>
  <c r="X213" i="9" s="1"/>
  <c r="W291" i="9" a="1"/>
  <c r="W291" i="9" s="1"/>
  <c r="X291" i="9" s="1"/>
  <c r="W39" i="9" a="1"/>
  <c r="W39" i="9" s="1"/>
  <c r="X39" i="9" s="1"/>
  <c r="W260" i="9" a="1"/>
  <c r="W260" i="9" s="1"/>
  <c r="X260" i="9" s="1"/>
  <c r="W81" i="9" a="1"/>
  <c r="W81" i="9" s="1"/>
  <c r="X81" i="9" s="1"/>
  <c r="W217" i="9" a="1"/>
  <c r="W217" i="9" s="1"/>
  <c r="X217" i="9" s="1"/>
  <c r="W163" i="9" a="1"/>
  <c r="W163" i="9" s="1"/>
  <c r="X163" i="9" s="1"/>
  <c r="Z163" i="9" s="1"/>
  <c r="W310" i="9" a="1"/>
  <c r="W310" i="9" s="1"/>
  <c r="X310" i="9" s="1"/>
  <c r="W2" i="9" a="1"/>
  <c r="W2" i="9" s="1"/>
  <c r="X2" i="9" s="1"/>
  <c r="W218" i="9" a="1"/>
  <c r="W218" i="9" s="1"/>
  <c r="X218" i="9" s="1"/>
  <c r="W37" i="9" a="1"/>
  <c r="W37" i="9" s="1"/>
  <c r="X37" i="9" s="1"/>
  <c r="W261" i="9" a="1"/>
  <c r="W261" i="9" s="1"/>
  <c r="X261" i="9" s="1"/>
  <c r="W295" i="9" a="1"/>
  <c r="W295" i="9" s="1"/>
  <c r="X295" i="9" s="1"/>
  <c r="W71" i="9" a="1"/>
  <c r="W71" i="9" s="1"/>
  <c r="X71" i="9" s="1"/>
  <c r="Z71" i="9" s="1"/>
  <c r="W76" i="9" a="1"/>
  <c r="W76" i="9" s="1"/>
  <c r="X76" i="9" s="1"/>
  <c r="W12" i="9" a="1"/>
  <c r="W12" i="9" s="1"/>
  <c r="X12" i="9" s="1"/>
  <c r="W168" i="9" a="1"/>
  <c r="W168" i="9" s="1"/>
  <c r="X168" i="9" s="1"/>
  <c r="Z168" i="9" s="1"/>
  <c r="W326" i="9" a="1"/>
  <c r="W326" i="9" s="1"/>
  <c r="X326" i="9" s="1"/>
  <c r="W27" i="9" a="1"/>
  <c r="W27" i="9" s="1"/>
  <c r="X27" i="9" s="1"/>
  <c r="W194" i="9" a="1"/>
  <c r="W194" i="9" s="1"/>
  <c r="X194" i="9" s="1"/>
  <c r="W301" i="9" a="1"/>
  <c r="W301" i="9" s="1"/>
  <c r="X301" i="9" s="1"/>
  <c r="W244" i="9" a="1"/>
  <c r="W244" i="9" s="1"/>
  <c r="X244" i="9" s="1"/>
  <c r="W44" i="9" a="1"/>
  <c r="W44" i="9" s="1"/>
  <c r="X44" i="9" s="1"/>
  <c r="W198" i="9" a="1"/>
  <c r="W198" i="9" s="1"/>
  <c r="X198" i="9" s="1"/>
  <c r="W157" i="9" a="1"/>
  <c r="W157" i="9" s="1"/>
  <c r="X157" i="9" s="1"/>
  <c r="Z157" i="9" s="1"/>
  <c r="W95" i="9" a="1"/>
  <c r="W95" i="9" s="1"/>
  <c r="X95" i="9" s="1"/>
  <c r="W179" i="9" a="1"/>
  <c r="W179" i="9" s="1"/>
  <c r="X179" i="9" s="1"/>
  <c r="Z179" i="9" s="1"/>
  <c r="W41" i="9" a="1"/>
  <c r="W41" i="9" s="1"/>
  <c r="X41" i="9" s="1"/>
  <c r="W97" i="9" a="1"/>
  <c r="W97" i="9" s="1"/>
  <c r="X97" i="9" s="1"/>
  <c r="W5" i="9" a="1"/>
  <c r="W5" i="9" s="1"/>
  <c r="X5" i="9" s="1"/>
  <c r="Z5" i="9" s="1"/>
  <c r="W128" i="9" a="1"/>
  <c r="W128" i="9" s="1"/>
  <c r="X128" i="9" s="1"/>
  <c r="Z128" i="9" s="1"/>
  <c r="W274" i="9" a="1"/>
  <c r="W274" i="9" s="1"/>
  <c r="X274" i="9" s="1"/>
  <c r="W31" i="9" a="1"/>
  <c r="W31" i="9" s="1"/>
  <c r="X31" i="9" s="1"/>
  <c r="Z31" i="9" s="1"/>
  <c r="W206" i="9" a="1"/>
  <c r="W206" i="9" s="1"/>
  <c r="X206" i="9" s="1"/>
  <c r="W323" i="9" a="1"/>
  <c r="W323" i="9" s="1"/>
  <c r="X323" i="9" s="1"/>
  <c r="W129" i="9" a="1"/>
  <c r="W129" i="9" s="1"/>
  <c r="X129" i="9" s="1"/>
  <c r="W219" i="9" a="1"/>
  <c r="W219" i="9" s="1"/>
  <c r="X219" i="9" s="1"/>
  <c r="W169" i="9" a="1"/>
  <c r="W169" i="9" s="1"/>
  <c r="X169" i="9" s="1"/>
  <c r="W307" i="9" a="1"/>
  <c r="W307" i="9" s="1"/>
  <c r="X307" i="9" s="1"/>
  <c r="W188" i="9" a="1"/>
  <c r="W188" i="9" s="1"/>
  <c r="X188" i="9" s="1"/>
  <c r="W210" i="9" a="1"/>
  <c r="W210" i="9" s="1"/>
  <c r="X210" i="9" s="1"/>
  <c r="W319" i="9" a="1"/>
  <c r="W319" i="9" s="1"/>
  <c r="X319" i="9" s="1"/>
  <c r="W13" i="9" a="1"/>
  <c r="W13" i="9" s="1"/>
  <c r="X13" i="9" s="1"/>
  <c r="W306" i="9" a="1"/>
  <c r="W306" i="9" s="1"/>
  <c r="X306" i="9" s="1"/>
  <c r="W52" i="9" a="1"/>
  <c r="W52" i="9" s="1"/>
  <c r="X52" i="9" s="1"/>
  <c r="W289" i="9" a="1"/>
  <c r="W289" i="9" s="1"/>
  <c r="X289" i="9" s="1"/>
  <c r="W283" i="9" a="1"/>
  <c r="W283" i="9" s="1"/>
  <c r="X283" i="9" s="1"/>
  <c r="W68" i="9" a="1"/>
  <c r="W68" i="9" s="1"/>
  <c r="X68" i="9" s="1"/>
  <c r="W257" i="9" a="1"/>
  <c r="W257" i="9" s="1"/>
  <c r="X257" i="9" s="1"/>
  <c r="Z257" i="9" s="1"/>
  <c r="W70" i="9" a="1"/>
  <c r="W70" i="9" s="1"/>
  <c r="X70" i="9" s="1"/>
  <c r="Z70" i="9" s="1"/>
  <c r="W84" i="9" a="1"/>
  <c r="W84" i="9" s="1"/>
  <c r="X84" i="9" s="1"/>
  <c r="W92" i="9" a="1"/>
  <c r="W92" i="9" s="1"/>
  <c r="X92" i="9" s="1"/>
  <c r="W226" i="9" a="1"/>
  <c r="W226" i="9" s="1"/>
  <c r="X226" i="9" s="1"/>
  <c r="W77" i="9" a="1"/>
  <c r="W77" i="9" s="1"/>
  <c r="X77" i="9" s="1"/>
  <c r="Z77" i="9" s="1"/>
  <c r="W89" i="9" a="1"/>
  <c r="W89" i="9" s="1"/>
  <c r="X89" i="9" s="1"/>
  <c r="W199" i="9" a="1"/>
  <c r="W199" i="9" s="1"/>
  <c r="X199" i="9" s="1"/>
  <c r="W33" i="9" a="1"/>
  <c r="W33" i="9" s="1"/>
  <c r="X33" i="9" s="1"/>
  <c r="W34" i="9" a="1"/>
  <c r="W34" i="9" s="1"/>
  <c r="X34" i="9" s="1"/>
  <c r="W152" i="9" a="1"/>
  <c r="W152" i="9" s="1"/>
  <c r="X152" i="9" s="1"/>
  <c r="W166" i="9" a="1"/>
  <c r="W166" i="9" s="1"/>
  <c r="X166" i="9" s="1"/>
  <c r="W29" i="9" a="1"/>
  <c r="W29" i="9" s="1"/>
  <c r="X29" i="9" s="1"/>
  <c r="W125" i="9" a="1"/>
  <c r="W125" i="9" s="1"/>
  <c r="X125" i="9" s="1"/>
  <c r="Z125" i="9" s="1"/>
  <c r="W54" i="9" a="1"/>
  <c r="W54" i="9" s="1"/>
  <c r="X54" i="9" s="1"/>
  <c r="W3" i="9" a="1"/>
  <c r="W3" i="9" s="1"/>
  <c r="X3" i="9" s="1"/>
  <c r="W232" i="9" a="1"/>
  <c r="W232" i="9" s="1"/>
  <c r="X232" i="9" s="1"/>
  <c r="W148" i="9" a="1"/>
  <c r="W148" i="9" s="1"/>
  <c r="X148" i="9" s="1"/>
  <c r="W305" i="9" a="1"/>
  <c r="W305" i="9" s="1"/>
  <c r="X305" i="9" s="1"/>
  <c r="W167" i="9" a="1"/>
  <c r="W167" i="9" s="1"/>
  <c r="X167" i="9" s="1"/>
  <c r="W136" i="9" a="1"/>
  <c r="W136" i="9" s="1"/>
  <c r="X136" i="9" s="1"/>
  <c r="W259" i="9" a="1"/>
  <c r="W259" i="9" s="1"/>
  <c r="X259" i="9" s="1"/>
  <c r="W250" i="9" a="1"/>
  <c r="W250" i="9" s="1"/>
  <c r="X250" i="9" s="1"/>
  <c r="W20" i="9" a="1"/>
  <c r="W20" i="9" s="1"/>
  <c r="X20" i="9" s="1"/>
  <c r="W176" i="9" a="1"/>
  <c r="W176" i="9" s="1"/>
  <c r="X176" i="9" s="1"/>
  <c r="Z176" i="9" s="1"/>
  <c r="W7" i="9" a="1"/>
  <c r="W7" i="9" s="1"/>
  <c r="X7" i="9" s="1"/>
  <c r="W211" i="9" a="1"/>
  <c r="W211" i="9" s="1"/>
  <c r="X211" i="9" s="1"/>
  <c r="W225" i="9" a="1"/>
  <c r="W225" i="9" s="1"/>
  <c r="X225" i="9" s="1"/>
  <c r="W158" i="9" a="1"/>
  <c r="W158" i="9" s="1"/>
  <c r="X158" i="9" s="1"/>
  <c r="W67" i="9" a="1"/>
  <c r="W67" i="9" s="1"/>
  <c r="X67" i="9" s="1"/>
  <c r="Z67" i="9" s="1"/>
  <c r="W110" i="9" a="1"/>
  <c r="W110" i="9" s="1"/>
  <c r="X110" i="9" s="1"/>
  <c r="W130" i="9" a="1"/>
  <c r="W130" i="9" s="1"/>
  <c r="X130" i="9" s="1"/>
  <c r="AA130" i="9" s="1"/>
  <c r="AC130" i="9" s="1" a="1"/>
  <c r="AC130" i="9" s="1"/>
  <c r="W106" i="9" a="1"/>
  <c r="W106" i="9" s="1"/>
  <c r="X106" i="9" s="1"/>
  <c r="Z106" i="9" s="1"/>
  <c r="W61" i="9" a="1"/>
  <c r="W61" i="9" s="1"/>
  <c r="X61" i="9" s="1"/>
  <c r="W10" i="9" a="1"/>
  <c r="W10" i="9" s="1"/>
  <c r="X10" i="9" s="1"/>
  <c r="W36" i="9" a="1"/>
  <c r="W36" i="9" s="1"/>
  <c r="X36" i="9" s="1"/>
  <c r="W74" i="9" a="1"/>
  <c r="W74" i="9" s="1"/>
  <c r="X74" i="9" s="1"/>
  <c r="W124" i="9" a="1"/>
  <c r="W124" i="9" s="1"/>
  <c r="X124" i="9" s="1"/>
  <c r="Z124" i="9" s="1"/>
  <c r="W186" i="9" a="1"/>
  <c r="W186" i="9" s="1"/>
  <c r="X186" i="9" s="1"/>
  <c r="Z186" i="9" s="1"/>
  <c r="W35" i="9" a="1"/>
  <c r="W35" i="9" s="1"/>
  <c r="X35" i="9" s="1"/>
  <c r="W66" i="9" a="1"/>
  <c r="W66" i="9" s="1"/>
  <c r="X66" i="9" s="1"/>
  <c r="Z66" i="9" s="1"/>
  <c r="W115" i="9" a="1"/>
  <c r="W115" i="9" s="1"/>
  <c r="X115" i="9" s="1"/>
  <c r="W165" i="9" a="1"/>
  <c r="W165" i="9" s="1"/>
  <c r="X165" i="9" s="1"/>
  <c r="W316" i="9" a="1"/>
  <c r="W316" i="9" s="1"/>
  <c r="X316" i="9" s="1"/>
  <c r="W223" i="9" a="1"/>
  <c r="W223" i="9" s="1"/>
  <c r="X223" i="9" s="1"/>
  <c r="W255" i="9" a="1"/>
  <c r="W255" i="9" s="1"/>
  <c r="X255" i="9" s="1"/>
  <c r="W235" i="9" a="1"/>
  <c r="W235" i="9" s="1"/>
  <c r="X235" i="9" s="1"/>
  <c r="W121" i="9" a="1"/>
  <c r="W121" i="9" s="1"/>
  <c r="X121" i="9" s="1"/>
  <c r="W240" i="9" a="1"/>
  <c r="W240" i="9" s="1"/>
  <c r="X240" i="9" s="1"/>
  <c r="W308" i="9" a="1"/>
  <c r="W308" i="9" s="1"/>
  <c r="X308" i="9" s="1"/>
  <c r="W141" i="9" a="1"/>
  <c r="W141" i="9" s="1"/>
  <c r="X141" i="9" s="1"/>
  <c r="W30" i="9" a="1"/>
  <c r="W30" i="9" s="1"/>
  <c r="X30" i="9" s="1"/>
  <c r="W276" i="9" a="1"/>
  <c r="W276" i="9" s="1"/>
  <c r="X276" i="9" s="1"/>
  <c r="W245" i="9" a="1"/>
  <c r="W245" i="9" s="1"/>
  <c r="X245" i="9" s="1"/>
  <c r="W273" i="9" a="1"/>
  <c r="W273" i="9" s="1"/>
  <c r="X273" i="9" s="1"/>
  <c r="W253" i="9" a="1"/>
  <c r="W253" i="9" s="1"/>
  <c r="X253" i="9" s="1"/>
  <c r="W296" i="9" a="1"/>
  <c r="W296" i="9" s="1"/>
  <c r="X296" i="9" s="1"/>
  <c r="W83" i="9" a="1"/>
  <c r="W83" i="9" s="1"/>
  <c r="X83" i="9" s="1"/>
  <c r="Z83" i="9" s="1"/>
  <c r="W266" i="9" a="1"/>
  <c r="W266" i="9" s="1"/>
  <c r="X266" i="9" s="1"/>
  <c r="W327" i="9" a="1"/>
  <c r="W327" i="9" s="1"/>
  <c r="X327" i="9" s="1"/>
  <c r="W241" i="9" a="1"/>
  <c r="W241" i="9" s="1"/>
  <c r="X241" i="9" s="1"/>
  <c r="W53" i="9" a="1"/>
  <c r="W53" i="9" s="1"/>
  <c r="X53" i="9" s="1"/>
  <c r="W279" i="9" a="1"/>
  <c r="W279" i="9" s="1"/>
  <c r="X279" i="9" s="1"/>
  <c r="W234" i="9" a="1"/>
  <c r="W234" i="9" s="1"/>
  <c r="X234" i="9" s="1"/>
  <c r="AA234" i="9" s="1"/>
  <c r="AC234" i="9" s="1" a="1"/>
  <c r="AC234" i="9" s="1"/>
  <c r="W137" i="9" a="1"/>
  <c r="W137" i="9" s="1"/>
  <c r="X137" i="9" s="1"/>
  <c r="Z137" i="9" s="1"/>
  <c r="W174" i="9" a="1"/>
  <c r="W174" i="9" s="1"/>
  <c r="X174" i="9" s="1"/>
  <c r="W189" i="9" a="1"/>
  <c r="W189" i="9" s="1"/>
  <c r="X189" i="9" s="1"/>
  <c r="W209" i="9" a="1"/>
  <c r="W209" i="9" s="1"/>
  <c r="X209" i="9" s="1"/>
  <c r="W153" i="9" a="1"/>
  <c r="W153" i="9" s="1"/>
  <c r="X153" i="9" s="1"/>
  <c r="W87" i="9" a="1"/>
  <c r="W87" i="9" s="1"/>
  <c r="X87" i="9" s="1"/>
  <c r="Z87" i="9" s="1"/>
  <c r="W243" i="9" a="1"/>
  <c r="W243" i="9" s="1"/>
  <c r="X243" i="9" s="1"/>
  <c r="W309" i="9" a="1"/>
  <c r="W309" i="9" s="1"/>
  <c r="X309" i="9" s="1"/>
  <c r="W126" i="9" a="1"/>
  <c r="W126" i="9" s="1"/>
  <c r="X126" i="9" s="1"/>
  <c r="Z126" i="9" s="1"/>
  <c r="W251" i="9" a="1"/>
  <c r="W251" i="9" s="1"/>
  <c r="X251" i="9" s="1"/>
  <c r="W320" i="9" a="1"/>
  <c r="W320" i="9" s="1"/>
  <c r="X320" i="9" s="1"/>
  <c r="W238" i="9" a="1"/>
  <c r="W238" i="9" s="1"/>
  <c r="X238" i="9" s="1"/>
  <c r="W258" i="9" a="1"/>
  <c r="W258" i="9" s="1"/>
  <c r="X258" i="9" s="1"/>
  <c r="W113" i="9" a="1"/>
  <c r="W113" i="9" s="1"/>
  <c r="X113" i="9" s="1"/>
  <c r="Z113" i="9" s="1"/>
  <c r="W207" i="9" a="1"/>
  <c r="W207" i="9" s="1"/>
  <c r="X207" i="9" s="1"/>
  <c r="W246" i="9" a="1"/>
  <c r="W246" i="9" s="1"/>
  <c r="X246" i="9" s="1"/>
  <c r="AA246" i="9" s="1"/>
  <c r="AC246" i="9" s="1" a="1"/>
  <c r="AC246" i="9" s="1"/>
  <c r="W101" i="9" a="1"/>
  <c r="W101" i="9" s="1"/>
  <c r="X101" i="9" s="1"/>
  <c r="Z101" i="9" s="1"/>
  <c r="W193" i="9" a="1"/>
  <c r="W193" i="9" s="1"/>
  <c r="X193" i="9" s="1"/>
  <c r="W123" i="9" a="1"/>
  <c r="W123" i="9" s="1"/>
  <c r="X123" i="9" s="1"/>
  <c r="W51" i="9" a="1"/>
  <c r="W51" i="9" s="1"/>
  <c r="X51" i="9" s="1"/>
  <c r="W265" i="9" a="1"/>
  <c r="W265" i="9" s="1"/>
  <c r="X265" i="9" s="1"/>
  <c r="W317" i="9" a="1"/>
  <c r="W317" i="9" s="1"/>
  <c r="X317" i="9" s="1"/>
  <c r="W212" i="9" a="1"/>
  <c r="W212" i="9" s="1"/>
  <c r="X212" i="9" s="1"/>
  <c r="B339" i="2"/>
  <c r="B340" i="2"/>
  <c r="B336" i="2"/>
  <c r="B333" i="2"/>
  <c r="B332" i="2"/>
  <c r="B330" i="2"/>
  <c r="B329" i="2"/>
  <c r="V311" i="9"/>
  <c r="V281" i="9"/>
  <c r="V312" i="9"/>
  <c r="V318" i="9"/>
  <c r="V26" i="9"/>
  <c r="V171" i="9"/>
  <c r="V146" i="9"/>
  <c r="V79" i="9"/>
  <c r="V118" i="9"/>
  <c r="V55" i="9"/>
  <c r="V147" i="9"/>
  <c r="V48" i="9"/>
  <c r="V315" i="9"/>
  <c r="V190" i="9"/>
  <c r="V278" i="9"/>
  <c r="V262" i="9"/>
  <c r="V11" i="9"/>
  <c r="V254" i="9"/>
  <c r="V8" i="9"/>
  <c r="V263" i="9"/>
  <c r="V322" i="9"/>
  <c r="V105" i="9"/>
  <c r="V184" i="9"/>
  <c r="V6" i="9"/>
  <c r="V183" i="9"/>
  <c r="V73" i="9"/>
  <c r="V62" i="9"/>
  <c r="V177" i="9"/>
  <c r="V94" i="9"/>
  <c r="V58" i="9"/>
  <c r="V145" i="9"/>
  <c r="V325" i="9"/>
  <c r="V138" i="9"/>
  <c r="V256" i="9"/>
  <c r="V109" i="9"/>
  <c r="V60" i="9"/>
  <c r="V18" i="9"/>
  <c r="V321" i="9"/>
  <c r="V173" i="9"/>
  <c r="V313" i="9"/>
  <c r="V75" i="9"/>
  <c r="V230" i="9"/>
  <c r="V229" i="9"/>
  <c r="V56" i="9"/>
  <c r="V170" i="9"/>
  <c r="V99" i="9"/>
  <c r="V205" i="9"/>
  <c r="V131" i="9"/>
  <c r="V228" i="9"/>
  <c r="V275" i="9"/>
  <c r="V98" i="9"/>
  <c r="V134" i="9"/>
  <c r="V284" i="9"/>
  <c r="V25" i="9"/>
  <c r="V304" i="9"/>
  <c r="V277" i="9"/>
  <c r="V120" i="9"/>
  <c r="V122" i="9"/>
  <c r="V231" i="9"/>
  <c r="V100" i="9"/>
  <c r="V21" i="9"/>
  <c r="V139" i="9"/>
  <c r="V268" i="9"/>
  <c r="V64" i="9"/>
  <c r="V162" i="9"/>
  <c r="V133" i="9"/>
  <c r="V47" i="9"/>
  <c r="V264" i="9"/>
  <c r="V50" i="9"/>
  <c r="V142" i="9"/>
  <c r="V233" i="9"/>
  <c r="V63" i="9"/>
  <c r="V96" i="9"/>
  <c r="V40" i="9"/>
  <c r="V248" i="9"/>
  <c r="V43" i="9"/>
  <c r="V85" i="9"/>
  <c r="V160" i="9"/>
  <c r="V272" i="9"/>
  <c r="V22" i="9"/>
  <c r="V116" i="9"/>
  <c r="V280" i="9"/>
  <c r="V155" i="9"/>
  <c r="V180" i="9"/>
  <c r="V269" i="9"/>
  <c r="V247" i="9"/>
  <c r="V239" i="9"/>
  <c r="V288" i="9"/>
  <c r="V285" i="9"/>
  <c r="V221" i="9"/>
  <c r="V32" i="9"/>
  <c r="V149" i="9"/>
  <c r="V154" i="9"/>
  <c r="V203" i="9"/>
  <c r="V287" i="9"/>
  <c r="V69" i="9"/>
  <c r="V28" i="9"/>
  <c r="V49" i="9"/>
  <c r="V59" i="9"/>
  <c r="V178" i="9"/>
  <c r="V214" i="9"/>
  <c r="V65" i="9"/>
  <c r="V140" i="9"/>
  <c r="V107" i="9"/>
  <c r="V297" i="9"/>
  <c r="V267" i="9"/>
  <c r="V299" i="9"/>
  <c r="V236" i="9"/>
  <c r="V42" i="9"/>
  <c r="V227" i="9"/>
  <c r="V185" i="9"/>
  <c r="V294" i="9"/>
  <c r="V187" i="9"/>
  <c r="V80" i="9"/>
  <c r="V17" i="9"/>
  <c r="V237" i="9"/>
  <c r="V108" i="9"/>
  <c r="V249" i="9"/>
  <c r="V23" i="9"/>
  <c r="V302" i="9"/>
  <c r="V202" i="9"/>
  <c r="V164" i="9"/>
  <c r="V201" i="9"/>
  <c r="V19" i="9"/>
  <c r="V298" i="9"/>
  <c r="V242" i="9"/>
  <c r="V119" i="9"/>
  <c r="V175" i="9"/>
  <c r="V300" i="9"/>
  <c r="V114" i="9"/>
  <c r="V191" i="9"/>
  <c r="V200" i="9"/>
  <c r="V127" i="9"/>
  <c r="V216" i="9"/>
  <c r="V181" i="9"/>
  <c r="V90" i="9"/>
  <c r="V112" i="9"/>
  <c r="V86" i="9"/>
  <c r="V208" i="9"/>
  <c r="V78" i="9"/>
  <c r="V196" i="9"/>
  <c r="V4" i="9"/>
  <c r="V45" i="9"/>
  <c r="V82" i="9"/>
  <c r="V15" i="9"/>
  <c r="V88" i="9"/>
  <c r="V182" i="9"/>
  <c r="V161" i="9"/>
  <c r="V204" i="9"/>
  <c r="V220" i="9"/>
  <c r="V324" i="9"/>
  <c r="V151" i="9"/>
  <c r="V143" i="9"/>
  <c r="V293" i="9"/>
  <c r="V24" i="9"/>
  <c r="V192" i="9"/>
  <c r="V103" i="9"/>
  <c r="V292" i="9"/>
  <c r="V57" i="9"/>
  <c r="V72" i="9"/>
  <c r="V314" i="9"/>
  <c r="V14" i="9"/>
  <c r="V222" i="9"/>
  <c r="V159" i="9"/>
  <c r="V135" i="9"/>
  <c r="V197" i="9"/>
  <c r="V16" i="9"/>
  <c r="V117" i="9"/>
  <c r="V150" i="9"/>
  <c r="V303" i="9"/>
  <c r="V252" i="9"/>
  <c r="V93" i="9"/>
  <c r="V38" i="9"/>
  <c r="V144" i="9"/>
  <c r="V104" i="9"/>
  <c r="V290" i="9"/>
  <c r="V172" i="9"/>
  <c r="V46" i="9"/>
  <c r="V156" i="9"/>
  <c r="V270" i="9"/>
  <c r="V111" i="9"/>
  <c r="V224" i="9"/>
  <c r="V102" i="9"/>
  <c r="V195" i="9"/>
  <c r="V91" i="9"/>
  <c r="V286" i="9"/>
  <c r="V9" i="9"/>
  <c r="V271" i="9"/>
  <c r="V132" i="9"/>
  <c r="V282" i="9"/>
  <c r="V215" i="9"/>
  <c r="V213" i="9"/>
  <c r="V291" i="9"/>
  <c r="V39" i="9"/>
  <c r="V260" i="9"/>
  <c r="V81" i="9"/>
  <c r="V217" i="9"/>
  <c r="V163" i="9"/>
  <c r="V310" i="9"/>
  <c r="V2" i="9"/>
  <c r="V218" i="9"/>
  <c r="V37" i="9"/>
  <c r="V261" i="9"/>
  <c r="V295" i="9"/>
  <c r="V71" i="9"/>
  <c r="V76" i="9"/>
  <c r="V12" i="9"/>
  <c r="V168" i="9"/>
  <c r="V326" i="9"/>
  <c r="V27" i="9"/>
  <c r="V194" i="9"/>
  <c r="V301" i="9"/>
  <c r="V244" i="9"/>
  <c r="V44" i="9"/>
  <c r="V198" i="9"/>
  <c r="V157" i="9"/>
  <c r="V95" i="9"/>
  <c r="V179" i="9"/>
  <c r="V41" i="9"/>
  <c r="V97" i="9"/>
  <c r="V5" i="9"/>
  <c r="V128" i="9"/>
  <c r="V274" i="9"/>
  <c r="V31" i="9"/>
  <c r="V206" i="9"/>
  <c r="V323" i="9"/>
  <c r="V129" i="9"/>
  <c r="V219" i="9"/>
  <c r="V169" i="9"/>
  <c r="V307" i="9"/>
  <c r="V188" i="9"/>
  <c r="V210" i="9"/>
  <c r="V319" i="9"/>
  <c r="V13" i="9"/>
  <c r="V306" i="9"/>
  <c r="V52" i="9"/>
  <c r="V289" i="9"/>
  <c r="V283" i="9"/>
  <c r="V68" i="9"/>
  <c r="V257" i="9"/>
  <c r="V70" i="9"/>
  <c r="V84" i="9"/>
  <c r="V92" i="9"/>
  <c r="V226" i="9"/>
  <c r="V77" i="9"/>
  <c r="V89" i="9"/>
  <c r="V199" i="9"/>
  <c r="V33" i="9"/>
  <c r="V34" i="9"/>
  <c r="V152" i="9"/>
  <c r="V166" i="9"/>
  <c r="V29" i="9"/>
  <c r="V125" i="9"/>
  <c r="V54" i="9"/>
  <c r="V3" i="9"/>
  <c r="V232" i="9"/>
  <c r="V148" i="9"/>
  <c r="V305" i="9"/>
  <c r="V167" i="9"/>
  <c r="V136" i="9"/>
  <c r="V259" i="9"/>
  <c r="V250" i="9"/>
  <c r="V20" i="9"/>
  <c r="V176" i="9"/>
  <c r="V7" i="9"/>
  <c r="V211" i="9"/>
  <c r="V225" i="9"/>
  <c r="V158" i="9"/>
  <c r="V67" i="9"/>
  <c r="V110" i="9"/>
  <c r="V130" i="9"/>
  <c r="V106" i="9"/>
  <c r="V61" i="9"/>
  <c r="V10" i="9"/>
  <c r="V36" i="9"/>
  <c r="V74" i="9"/>
  <c r="V124" i="9"/>
  <c r="V186" i="9"/>
  <c r="V35" i="9"/>
  <c r="V66" i="9"/>
  <c r="V115" i="9"/>
  <c r="V165" i="9"/>
  <c r="V316" i="9"/>
  <c r="V223" i="9"/>
  <c r="V255" i="9"/>
  <c r="V235" i="9"/>
  <c r="V121" i="9"/>
  <c r="V240" i="9"/>
  <c r="V308" i="9"/>
  <c r="V141" i="9"/>
  <c r="V30" i="9"/>
  <c r="V276" i="9"/>
  <c r="V245" i="9"/>
  <c r="V273" i="9"/>
  <c r="V253" i="9"/>
  <c r="V296" i="9"/>
  <c r="V83" i="9"/>
  <c r="V266" i="9"/>
  <c r="V327" i="9"/>
  <c r="V241" i="9"/>
  <c r="V53" i="9"/>
  <c r="V279" i="9"/>
  <c r="V234" i="9"/>
  <c r="V137" i="9"/>
  <c r="V174" i="9"/>
  <c r="V189" i="9"/>
  <c r="V209" i="9"/>
  <c r="V153" i="9"/>
  <c r="V87" i="9"/>
  <c r="V243" i="9"/>
  <c r="V309" i="9"/>
  <c r="V126" i="9"/>
  <c r="V251" i="9"/>
  <c r="V320" i="9"/>
  <c r="V238" i="9"/>
  <c r="V258" i="9"/>
  <c r="V113" i="9"/>
  <c r="V207" i="9"/>
  <c r="V246" i="9"/>
  <c r="V101" i="9"/>
  <c r="V193" i="9"/>
  <c r="V123" i="9"/>
  <c r="V51" i="9"/>
  <c r="V265" i="9"/>
  <c r="V317" i="9"/>
  <c r="V212" i="9"/>
  <c r="U311" i="9"/>
  <c r="U281" i="9"/>
  <c r="U312" i="9"/>
  <c r="U318" i="9"/>
  <c r="U26" i="9"/>
  <c r="U171" i="9"/>
  <c r="U146" i="9"/>
  <c r="U79" i="9"/>
  <c r="U118" i="9"/>
  <c r="U55" i="9"/>
  <c r="U147" i="9"/>
  <c r="U48" i="9"/>
  <c r="U315" i="9"/>
  <c r="U190" i="9"/>
  <c r="U278" i="9"/>
  <c r="U262" i="9"/>
  <c r="U11" i="9"/>
  <c r="U254" i="9"/>
  <c r="U8" i="9"/>
  <c r="U263" i="9"/>
  <c r="U322" i="9"/>
  <c r="U105" i="9"/>
  <c r="U184" i="9"/>
  <c r="U6" i="9"/>
  <c r="U183" i="9"/>
  <c r="U73" i="9"/>
  <c r="U62" i="9"/>
  <c r="U177" i="9"/>
  <c r="U94" i="9"/>
  <c r="U58" i="9"/>
  <c r="U145" i="9"/>
  <c r="U325" i="9"/>
  <c r="U138" i="9"/>
  <c r="U256" i="9"/>
  <c r="U109" i="9"/>
  <c r="U60" i="9"/>
  <c r="U18" i="9"/>
  <c r="U321" i="9"/>
  <c r="U173" i="9"/>
  <c r="U313" i="9"/>
  <c r="U75" i="9"/>
  <c r="U230" i="9"/>
  <c r="U229" i="9"/>
  <c r="U56" i="9"/>
  <c r="U170" i="9"/>
  <c r="U99" i="9"/>
  <c r="U205" i="9"/>
  <c r="U131" i="9"/>
  <c r="U228" i="9"/>
  <c r="U275" i="9"/>
  <c r="U98" i="9"/>
  <c r="U134" i="9"/>
  <c r="U284" i="9"/>
  <c r="U25" i="9"/>
  <c r="U304" i="9"/>
  <c r="U277" i="9"/>
  <c r="U120" i="9"/>
  <c r="U122" i="9"/>
  <c r="U231" i="9"/>
  <c r="U100" i="9"/>
  <c r="U21" i="9"/>
  <c r="U139" i="9"/>
  <c r="U268" i="9"/>
  <c r="U64" i="9"/>
  <c r="U162" i="9"/>
  <c r="U133" i="9"/>
  <c r="U47" i="9"/>
  <c r="U264" i="9"/>
  <c r="U50" i="9"/>
  <c r="U142" i="9"/>
  <c r="U233" i="9"/>
  <c r="U63" i="9"/>
  <c r="U96" i="9"/>
  <c r="U40" i="9"/>
  <c r="U248" i="9"/>
  <c r="U43" i="9"/>
  <c r="U85" i="9"/>
  <c r="U160" i="9"/>
  <c r="U272" i="9"/>
  <c r="U22" i="9"/>
  <c r="U116" i="9"/>
  <c r="U280" i="9"/>
  <c r="U155" i="9"/>
  <c r="U180" i="9"/>
  <c r="U269" i="9"/>
  <c r="U247" i="9"/>
  <c r="U239" i="9"/>
  <c r="U288" i="9"/>
  <c r="U285" i="9"/>
  <c r="U221" i="9"/>
  <c r="U32" i="9"/>
  <c r="U149" i="9"/>
  <c r="U154" i="9"/>
  <c r="U203" i="9"/>
  <c r="U287" i="9"/>
  <c r="U69" i="9"/>
  <c r="U28" i="9"/>
  <c r="U49" i="9"/>
  <c r="U59" i="9"/>
  <c r="U178" i="9"/>
  <c r="U214" i="9"/>
  <c r="U65" i="9"/>
  <c r="U140" i="9"/>
  <c r="U107" i="9"/>
  <c r="U297" i="9"/>
  <c r="U267" i="9"/>
  <c r="U299" i="9"/>
  <c r="U236" i="9"/>
  <c r="U42" i="9"/>
  <c r="U227" i="9"/>
  <c r="U185" i="9"/>
  <c r="U294" i="9"/>
  <c r="U187" i="9"/>
  <c r="U80" i="9"/>
  <c r="U17" i="9"/>
  <c r="U237" i="9"/>
  <c r="U108" i="9"/>
  <c r="U249" i="9"/>
  <c r="U23" i="9"/>
  <c r="U302" i="9"/>
  <c r="U202" i="9"/>
  <c r="U164" i="9"/>
  <c r="U201" i="9"/>
  <c r="U19" i="9"/>
  <c r="U298" i="9"/>
  <c r="U242" i="9"/>
  <c r="U119" i="9"/>
  <c r="U175" i="9"/>
  <c r="U300" i="9"/>
  <c r="U114" i="9"/>
  <c r="U191" i="9"/>
  <c r="U200" i="9"/>
  <c r="U127" i="9"/>
  <c r="U216" i="9"/>
  <c r="U181" i="9"/>
  <c r="U90" i="9"/>
  <c r="U112" i="9"/>
  <c r="U86" i="9"/>
  <c r="U208" i="9"/>
  <c r="U78" i="9"/>
  <c r="U196" i="9"/>
  <c r="U4" i="9"/>
  <c r="U45" i="9"/>
  <c r="U82" i="9"/>
  <c r="U15" i="9"/>
  <c r="U88" i="9"/>
  <c r="U182" i="9"/>
  <c r="U161" i="9"/>
  <c r="U204" i="9"/>
  <c r="U220" i="9"/>
  <c r="U324" i="9"/>
  <c r="U151" i="9"/>
  <c r="U143" i="9"/>
  <c r="U293" i="9"/>
  <c r="U24" i="9"/>
  <c r="U192" i="9"/>
  <c r="U103" i="9"/>
  <c r="U292" i="9"/>
  <c r="U57" i="9"/>
  <c r="U72" i="9"/>
  <c r="U314" i="9"/>
  <c r="U14" i="9"/>
  <c r="U222" i="9"/>
  <c r="U159" i="9"/>
  <c r="U135" i="9"/>
  <c r="U197" i="9"/>
  <c r="U16" i="9"/>
  <c r="U117" i="9"/>
  <c r="U150" i="9"/>
  <c r="U303" i="9"/>
  <c r="U252" i="9"/>
  <c r="U93" i="9"/>
  <c r="U38" i="9"/>
  <c r="U144" i="9"/>
  <c r="U104" i="9"/>
  <c r="U290" i="9"/>
  <c r="U172" i="9"/>
  <c r="U46" i="9"/>
  <c r="U156" i="9"/>
  <c r="U270" i="9"/>
  <c r="U111" i="9"/>
  <c r="U224" i="9"/>
  <c r="U102" i="9"/>
  <c r="U195" i="9"/>
  <c r="U91" i="9"/>
  <c r="U286" i="9"/>
  <c r="U9" i="9"/>
  <c r="U271" i="9"/>
  <c r="U132" i="9"/>
  <c r="U282" i="9"/>
  <c r="U215" i="9"/>
  <c r="U213" i="9"/>
  <c r="U291" i="9"/>
  <c r="U39" i="9"/>
  <c r="U260" i="9"/>
  <c r="U81" i="9"/>
  <c r="U217" i="9"/>
  <c r="U163" i="9"/>
  <c r="U310" i="9"/>
  <c r="U2" i="9"/>
  <c r="U218" i="9"/>
  <c r="U37" i="9"/>
  <c r="U261" i="9"/>
  <c r="U295" i="9"/>
  <c r="U71" i="9"/>
  <c r="U76" i="9"/>
  <c r="U12" i="9"/>
  <c r="U168" i="9"/>
  <c r="U326" i="9"/>
  <c r="U27" i="9"/>
  <c r="U194" i="9"/>
  <c r="U301" i="9"/>
  <c r="U244" i="9"/>
  <c r="U44" i="9"/>
  <c r="U198" i="9"/>
  <c r="U157" i="9"/>
  <c r="U95" i="9"/>
  <c r="U179" i="9"/>
  <c r="U41" i="9"/>
  <c r="U97" i="9"/>
  <c r="U5" i="9"/>
  <c r="U128" i="9"/>
  <c r="U274" i="9"/>
  <c r="U31" i="9"/>
  <c r="U206" i="9"/>
  <c r="U323" i="9"/>
  <c r="U129" i="9"/>
  <c r="U219" i="9"/>
  <c r="U169" i="9"/>
  <c r="U307" i="9"/>
  <c r="U188" i="9"/>
  <c r="U210" i="9"/>
  <c r="U319" i="9"/>
  <c r="U13" i="9"/>
  <c r="U306" i="9"/>
  <c r="U52" i="9"/>
  <c r="U289" i="9"/>
  <c r="U283" i="9"/>
  <c r="U68" i="9"/>
  <c r="U257" i="9"/>
  <c r="U70" i="9"/>
  <c r="U84" i="9"/>
  <c r="U92" i="9"/>
  <c r="U226" i="9"/>
  <c r="U77" i="9"/>
  <c r="U89" i="9"/>
  <c r="U199" i="9"/>
  <c r="U33" i="9"/>
  <c r="U34" i="9"/>
  <c r="U152" i="9"/>
  <c r="U166" i="9"/>
  <c r="U29" i="9"/>
  <c r="U125" i="9"/>
  <c r="U54" i="9"/>
  <c r="U3" i="9"/>
  <c r="U232" i="9"/>
  <c r="U148" i="9"/>
  <c r="U305" i="9"/>
  <c r="U167" i="9"/>
  <c r="U136" i="9"/>
  <c r="U259" i="9"/>
  <c r="U250" i="9"/>
  <c r="U20" i="9"/>
  <c r="U176" i="9"/>
  <c r="U7" i="9"/>
  <c r="U211" i="9"/>
  <c r="U225" i="9"/>
  <c r="U158" i="9"/>
  <c r="U67" i="9"/>
  <c r="U110" i="9"/>
  <c r="U130" i="9"/>
  <c r="U106" i="9"/>
  <c r="U61" i="9"/>
  <c r="U10" i="9"/>
  <c r="U36" i="9"/>
  <c r="U74" i="9"/>
  <c r="U124" i="9"/>
  <c r="U186" i="9"/>
  <c r="U35" i="9"/>
  <c r="U66" i="9"/>
  <c r="U115" i="9"/>
  <c r="U165" i="9"/>
  <c r="U316" i="9"/>
  <c r="U223" i="9"/>
  <c r="U255" i="9"/>
  <c r="U235" i="9"/>
  <c r="U121" i="9"/>
  <c r="U240" i="9"/>
  <c r="U308" i="9"/>
  <c r="U141" i="9"/>
  <c r="U30" i="9"/>
  <c r="U276" i="9"/>
  <c r="U245" i="9"/>
  <c r="U273" i="9"/>
  <c r="U253" i="9"/>
  <c r="U296" i="9"/>
  <c r="U83" i="9"/>
  <c r="U266" i="9"/>
  <c r="U327" i="9"/>
  <c r="U241" i="9"/>
  <c r="U53" i="9"/>
  <c r="U279" i="9"/>
  <c r="U234" i="9"/>
  <c r="U137" i="9"/>
  <c r="U174" i="9"/>
  <c r="U189" i="9"/>
  <c r="U209" i="9"/>
  <c r="U153" i="9"/>
  <c r="U87" i="9"/>
  <c r="U243" i="9"/>
  <c r="U309" i="9"/>
  <c r="U126" i="9"/>
  <c r="U251" i="9"/>
  <c r="U320" i="9"/>
  <c r="U238" i="9"/>
  <c r="U258" i="9"/>
  <c r="U113" i="9"/>
  <c r="U207" i="9"/>
  <c r="U246" i="9"/>
  <c r="U101" i="9"/>
  <c r="U193" i="9"/>
  <c r="U123" i="9"/>
  <c r="U51" i="9"/>
  <c r="U265" i="9"/>
  <c r="U317" i="9"/>
  <c r="U212" i="9"/>
  <c r="T311" i="9"/>
  <c r="T281" i="9"/>
  <c r="T312" i="9"/>
  <c r="T318" i="9"/>
  <c r="T26" i="9"/>
  <c r="T171" i="9"/>
  <c r="T146" i="9"/>
  <c r="T79" i="9"/>
  <c r="T118" i="9"/>
  <c r="T55" i="9"/>
  <c r="T147" i="9"/>
  <c r="T48" i="9"/>
  <c r="T315" i="9"/>
  <c r="T190" i="9"/>
  <c r="T278" i="9"/>
  <c r="T262" i="9"/>
  <c r="T11" i="9"/>
  <c r="T254" i="9"/>
  <c r="T8" i="9"/>
  <c r="T263" i="9"/>
  <c r="T322" i="9"/>
  <c r="T105" i="9"/>
  <c r="T184" i="9"/>
  <c r="T6" i="9"/>
  <c r="T183" i="9"/>
  <c r="T73" i="9"/>
  <c r="T62" i="9"/>
  <c r="T177" i="9"/>
  <c r="T94" i="9"/>
  <c r="T58" i="9"/>
  <c r="T145" i="9"/>
  <c r="T325" i="9"/>
  <c r="T138" i="9"/>
  <c r="T256" i="9"/>
  <c r="T109" i="9"/>
  <c r="T60" i="9"/>
  <c r="T18" i="9"/>
  <c r="T321" i="9"/>
  <c r="T173" i="9"/>
  <c r="T313" i="9"/>
  <c r="T75" i="9"/>
  <c r="T230" i="9"/>
  <c r="T229" i="9"/>
  <c r="T56" i="9"/>
  <c r="T170" i="9"/>
  <c r="T99" i="9"/>
  <c r="T205" i="9"/>
  <c r="T131" i="9"/>
  <c r="T228" i="9"/>
  <c r="T275" i="9"/>
  <c r="T98" i="9"/>
  <c r="T134" i="9"/>
  <c r="T284" i="9"/>
  <c r="T25" i="9"/>
  <c r="T304" i="9"/>
  <c r="T277" i="9"/>
  <c r="T120" i="9"/>
  <c r="T122" i="9"/>
  <c r="T231" i="9"/>
  <c r="T100" i="9"/>
  <c r="T21" i="9"/>
  <c r="T139" i="9"/>
  <c r="T268" i="9"/>
  <c r="T64" i="9"/>
  <c r="T162" i="9"/>
  <c r="T133" i="9"/>
  <c r="T47" i="9"/>
  <c r="T264" i="9"/>
  <c r="T50" i="9"/>
  <c r="T142" i="9"/>
  <c r="T233" i="9"/>
  <c r="T63" i="9"/>
  <c r="T96" i="9"/>
  <c r="T40" i="9"/>
  <c r="T248" i="9"/>
  <c r="T43" i="9"/>
  <c r="T85" i="9"/>
  <c r="T160" i="9"/>
  <c r="T272" i="9"/>
  <c r="T22" i="9"/>
  <c r="T116" i="9"/>
  <c r="T280" i="9"/>
  <c r="T155" i="9"/>
  <c r="T180" i="9"/>
  <c r="T269" i="9"/>
  <c r="T247" i="9"/>
  <c r="T239" i="9"/>
  <c r="T288" i="9"/>
  <c r="T285" i="9"/>
  <c r="T221" i="9"/>
  <c r="T32" i="9"/>
  <c r="T149" i="9"/>
  <c r="T154" i="9"/>
  <c r="T203" i="9"/>
  <c r="T287" i="9"/>
  <c r="T69" i="9"/>
  <c r="T28" i="9"/>
  <c r="T49" i="9"/>
  <c r="T59" i="9"/>
  <c r="T178" i="9"/>
  <c r="T214" i="9"/>
  <c r="T65" i="9"/>
  <c r="T140" i="9"/>
  <c r="T107" i="9"/>
  <c r="T297" i="9"/>
  <c r="T267" i="9"/>
  <c r="T299" i="9"/>
  <c r="T236" i="9"/>
  <c r="T42" i="9"/>
  <c r="T227" i="9"/>
  <c r="T185" i="9"/>
  <c r="T294" i="9"/>
  <c r="T187" i="9"/>
  <c r="T80" i="9"/>
  <c r="T17" i="9"/>
  <c r="T237" i="9"/>
  <c r="T108" i="9"/>
  <c r="T249" i="9"/>
  <c r="T23" i="9"/>
  <c r="T302" i="9"/>
  <c r="T202" i="9"/>
  <c r="T164" i="9"/>
  <c r="T201" i="9"/>
  <c r="T19" i="9"/>
  <c r="T298" i="9"/>
  <c r="T242" i="9"/>
  <c r="T119" i="9"/>
  <c r="T175" i="9"/>
  <c r="T300" i="9"/>
  <c r="T114" i="9"/>
  <c r="T191" i="9"/>
  <c r="T200" i="9"/>
  <c r="T127" i="9"/>
  <c r="T216" i="9"/>
  <c r="T181" i="9"/>
  <c r="T90" i="9"/>
  <c r="T112" i="9"/>
  <c r="T86" i="9"/>
  <c r="T208" i="9"/>
  <c r="T78" i="9"/>
  <c r="T196" i="9"/>
  <c r="T4" i="9"/>
  <c r="T45" i="9"/>
  <c r="T82" i="9"/>
  <c r="T15" i="9"/>
  <c r="T88" i="9"/>
  <c r="T182" i="9"/>
  <c r="T161" i="9"/>
  <c r="T204" i="9"/>
  <c r="T220" i="9"/>
  <c r="T324" i="9"/>
  <c r="T151" i="9"/>
  <c r="T143" i="9"/>
  <c r="T293" i="9"/>
  <c r="T24" i="9"/>
  <c r="T192" i="9"/>
  <c r="T103" i="9"/>
  <c r="T292" i="9"/>
  <c r="T57" i="9"/>
  <c r="T72" i="9"/>
  <c r="T314" i="9"/>
  <c r="T14" i="9"/>
  <c r="T222" i="9"/>
  <c r="T159" i="9"/>
  <c r="T135" i="9"/>
  <c r="T197" i="9"/>
  <c r="T16" i="9"/>
  <c r="T117" i="9"/>
  <c r="T150" i="9"/>
  <c r="T303" i="9"/>
  <c r="T252" i="9"/>
  <c r="T93" i="9"/>
  <c r="T38" i="9"/>
  <c r="T144" i="9"/>
  <c r="T104" i="9"/>
  <c r="T290" i="9"/>
  <c r="T172" i="9"/>
  <c r="T46" i="9"/>
  <c r="T156" i="9"/>
  <c r="T270" i="9"/>
  <c r="T111" i="9"/>
  <c r="T224" i="9"/>
  <c r="T102" i="9"/>
  <c r="T195" i="9"/>
  <c r="T91" i="9"/>
  <c r="T286" i="9"/>
  <c r="T9" i="9"/>
  <c r="T271" i="9"/>
  <c r="T132" i="9"/>
  <c r="T282" i="9"/>
  <c r="T215" i="9"/>
  <c r="T213" i="9"/>
  <c r="T291" i="9"/>
  <c r="T39" i="9"/>
  <c r="T260" i="9"/>
  <c r="T81" i="9"/>
  <c r="T217" i="9"/>
  <c r="T163" i="9"/>
  <c r="T310" i="9"/>
  <c r="T2" i="9"/>
  <c r="T218" i="9"/>
  <c r="T37" i="9"/>
  <c r="T261" i="9"/>
  <c r="T295" i="9"/>
  <c r="T71" i="9"/>
  <c r="T76" i="9"/>
  <c r="T12" i="9"/>
  <c r="T168" i="9"/>
  <c r="T326" i="9"/>
  <c r="T27" i="9"/>
  <c r="T194" i="9"/>
  <c r="T301" i="9"/>
  <c r="T244" i="9"/>
  <c r="T44" i="9"/>
  <c r="T198" i="9"/>
  <c r="T157" i="9"/>
  <c r="T95" i="9"/>
  <c r="T179" i="9"/>
  <c r="T41" i="9"/>
  <c r="T97" i="9"/>
  <c r="T5" i="9"/>
  <c r="T128" i="9"/>
  <c r="T274" i="9"/>
  <c r="T31" i="9"/>
  <c r="T206" i="9"/>
  <c r="T323" i="9"/>
  <c r="T129" i="9"/>
  <c r="T219" i="9"/>
  <c r="T169" i="9"/>
  <c r="T307" i="9"/>
  <c r="T188" i="9"/>
  <c r="T210" i="9"/>
  <c r="T319" i="9"/>
  <c r="T13" i="9"/>
  <c r="T306" i="9"/>
  <c r="T52" i="9"/>
  <c r="T289" i="9"/>
  <c r="T283" i="9"/>
  <c r="T68" i="9"/>
  <c r="T257" i="9"/>
  <c r="T70" i="9"/>
  <c r="T84" i="9"/>
  <c r="T92" i="9"/>
  <c r="T226" i="9"/>
  <c r="T77" i="9"/>
  <c r="T89" i="9"/>
  <c r="T199" i="9"/>
  <c r="T33" i="9"/>
  <c r="T34" i="9"/>
  <c r="T152" i="9"/>
  <c r="T166" i="9"/>
  <c r="T29" i="9"/>
  <c r="T125" i="9"/>
  <c r="T54" i="9"/>
  <c r="T3" i="9"/>
  <c r="T232" i="9"/>
  <c r="T148" i="9"/>
  <c r="T305" i="9"/>
  <c r="T167" i="9"/>
  <c r="T136" i="9"/>
  <c r="T259" i="9"/>
  <c r="T250" i="9"/>
  <c r="T20" i="9"/>
  <c r="T176" i="9"/>
  <c r="T7" i="9"/>
  <c r="T211" i="9"/>
  <c r="T225" i="9"/>
  <c r="T158" i="9"/>
  <c r="T67" i="9"/>
  <c r="T110" i="9"/>
  <c r="T130" i="9"/>
  <c r="T106" i="9"/>
  <c r="T61" i="9"/>
  <c r="T10" i="9"/>
  <c r="T36" i="9"/>
  <c r="T74" i="9"/>
  <c r="T124" i="9"/>
  <c r="T186" i="9"/>
  <c r="T35" i="9"/>
  <c r="T66" i="9"/>
  <c r="T115" i="9"/>
  <c r="T165" i="9"/>
  <c r="T316" i="9"/>
  <c r="T223" i="9"/>
  <c r="T255" i="9"/>
  <c r="T235" i="9"/>
  <c r="T121" i="9"/>
  <c r="T240" i="9"/>
  <c r="T308" i="9"/>
  <c r="T141" i="9"/>
  <c r="T30" i="9"/>
  <c r="T276" i="9"/>
  <c r="T245" i="9"/>
  <c r="T273" i="9"/>
  <c r="T253" i="9"/>
  <c r="T296" i="9"/>
  <c r="T83" i="9"/>
  <c r="T266" i="9"/>
  <c r="T327" i="9"/>
  <c r="T241" i="9"/>
  <c r="T53" i="9"/>
  <c r="T279" i="9"/>
  <c r="T234" i="9"/>
  <c r="T137" i="9"/>
  <c r="T174" i="9"/>
  <c r="T189" i="9"/>
  <c r="T209" i="9"/>
  <c r="T153" i="9"/>
  <c r="T87" i="9"/>
  <c r="T243" i="9"/>
  <c r="T309" i="9"/>
  <c r="T126" i="9"/>
  <c r="T251" i="9"/>
  <c r="T320" i="9"/>
  <c r="T238" i="9"/>
  <c r="T258" i="9"/>
  <c r="T113" i="9"/>
  <c r="T207" i="9"/>
  <c r="T246" i="9"/>
  <c r="T101" i="9"/>
  <c r="T193" i="9"/>
  <c r="T123" i="9"/>
  <c r="T51" i="9"/>
  <c r="T265" i="9"/>
  <c r="T317" i="9"/>
  <c r="T212" i="9"/>
  <c r="F281" i="9"/>
  <c r="F312" i="9"/>
  <c r="F318" i="9"/>
  <c r="F26" i="9"/>
  <c r="F171" i="9"/>
  <c r="F146" i="9"/>
  <c r="F79" i="9"/>
  <c r="F118" i="9"/>
  <c r="F55" i="9"/>
  <c r="F147" i="9"/>
  <c r="F48" i="9"/>
  <c r="F315" i="9"/>
  <c r="F190" i="9"/>
  <c r="F278" i="9"/>
  <c r="F262" i="9"/>
  <c r="F11" i="9"/>
  <c r="F254" i="9"/>
  <c r="F8" i="9"/>
  <c r="F263" i="9"/>
  <c r="F322" i="9"/>
  <c r="F105" i="9"/>
  <c r="F184" i="9"/>
  <c r="F6" i="9"/>
  <c r="F183" i="9"/>
  <c r="F73" i="9"/>
  <c r="F62" i="9"/>
  <c r="F177" i="9"/>
  <c r="F94" i="9"/>
  <c r="F58" i="9"/>
  <c r="F145" i="9"/>
  <c r="F325" i="9"/>
  <c r="F138" i="9"/>
  <c r="F256" i="9"/>
  <c r="F109" i="9"/>
  <c r="F60" i="9"/>
  <c r="F18" i="9"/>
  <c r="F321" i="9"/>
  <c r="F173" i="9"/>
  <c r="F313" i="9"/>
  <c r="F75" i="9"/>
  <c r="F230" i="9"/>
  <c r="F229" i="9"/>
  <c r="F56" i="9"/>
  <c r="F170" i="9"/>
  <c r="F99" i="9"/>
  <c r="F205" i="9"/>
  <c r="F131" i="9"/>
  <c r="F228" i="9"/>
  <c r="F275" i="9"/>
  <c r="F98" i="9"/>
  <c r="F134" i="9"/>
  <c r="F284" i="9"/>
  <c r="F25" i="9"/>
  <c r="F304" i="9"/>
  <c r="F277" i="9"/>
  <c r="F120" i="9"/>
  <c r="F122" i="9"/>
  <c r="F231" i="9"/>
  <c r="F100" i="9"/>
  <c r="F21" i="9"/>
  <c r="F139" i="9"/>
  <c r="F268" i="9"/>
  <c r="F64" i="9"/>
  <c r="F162" i="9"/>
  <c r="F133" i="9"/>
  <c r="F47" i="9"/>
  <c r="F264" i="9"/>
  <c r="F50" i="9"/>
  <c r="F142" i="9"/>
  <c r="F233" i="9"/>
  <c r="F63" i="9"/>
  <c r="F96" i="9"/>
  <c r="F40" i="9"/>
  <c r="F248" i="9"/>
  <c r="F43" i="9"/>
  <c r="F85" i="9"/>
  <c r="F160" i="9"/>
  <c r="F272" i="9"/>
  <c r="F22" i="9"/>
  <c r="F116" i="9"/>
  <c r="F280" i="9"/>
  <c r="F155" i="9"/>
  <c r="F180" i="9"/>
  <c r="F269" i="9"/>
  <c r="F247" i="9"/>
  <c r="F239" i="9"/>
  <c r="F288" i="9"/>
  <c r="F285" i="9"/>
  <c r="F221" i="9"/>
  <c r="F32" i="9"/>
  <c r="F149" i="9"/>
  <c r="F154" i="9"/>
  <c r="F203" i="9"/>
  <c r="F287" i="9"/>
  <c r="F69" i="9"/>
  <c r="F28" i="9"/>
  <c r="F49" i="9"/>
  <c r="F59" i="9"/>
  <c r="F178" i="9"/>
  <c r="F214" i="9"/>
  <c r="F65" i="9"/>
  <c r="F140" i="9"/>
  <c r="F107" i="9"/>
  <c r="F297" i="9"/>
  <c r="F267" i="9"/>
  <c r="F299" i="9"/>
  <c r="F236" i="9"/>
  <c r="F42" i="9"/>
  <c r="F227" i="9"/>
  <c r="F185" i="9"/>
  <c r="F294" i="9"/>
  <c r="F187" i="9"/>
  <c r="F80" i="9"/>
  <c r="F17" i="9"/>
  <c r="F237" i="9"/>
  <c r="F108" i="9"/>
  <c r="F249" i="9"/>
  <c r="F23" i="9"/>
  <c r="F302" i="9"/>
  <c r="F202" i="9"/>
  <c r="F164" i="9"/>
  <c r="F201" i="9"/>
  <c r="F19" i="9"/>
  <c r="F298" i="9"/>
  <c r="F242" i="9"/>
  <c r="F119" i="9"/>
  <c r="F175" i="9"/>
  <c r="F300" i="9"/>
  <c r="F114" i="9"/>
  <c r="F191" i="9"/>
  <c r="F200" i="9"/>
  <c r="F127" i="9"/>
  <c r="F216" i="9"/>
  <c r="F181" i="9"/>
  <c r="F90" i="9"/>
  <c r="F112" i="9"/>
  <c r="F86" i="9"/>
  <c r="F208" i="9"/>
  <c r="F78" i="9"/>
  <c r="F196" i="9"/>
  <c r="F4" i="9"/>
  <c r="F45" i="9"/>
  <c r="F82" i="9"/>
  <c r="F15" i="9"/>
  <c r="F88" i="9"/>
  <c r="F182" i="9"/>
  <c r="F161" i="9"/>
  <c r="F204" i="9"/>
  <c r="F220" i="9"/>
  <c r="F324" i="9"/>
  <c r="F151" i="9"/>
  <c r="F143" i="9"/>
  <c r="F293" i="9"/>
  <c r="F24" i="9"/>
  <c r="F192" i="9"/>
  <c r="F103" i="9"/>
  <c r="F292" i="9"/>
  <c r="F57" i="9"/>
  <c r="F72" i="9"/>
  <c r="F314" i="9"/>
  <c r="F14" i="9"/>
  <c r="F222" i="9"/>
  <c r="F159" i="9"/>
  <c r="F135" i="9"/>
  <c r="F197" i="9"/>
  <c r="F16" i="9"/>
  <c r="F117" i="9"/>
  <c r="F150" i="9"/>
  <c r="F303" i="9"/>
  <c r="F252" i="9"/>
  <c r="F93" i="9"/>
  <c r="F38" i="9"/>
  <c r="F144" i="9"/>
  <c r="F104" i="9"/>
  <c r="F290" i="9"/>
  <c r="F172" i="9"/>
  <c r="F46" i="9"/>
  <c r="F156" i="9"/>
  <c r="F270" i="9"/>
  <c r="F111" i="9"/>
  <c r="F224" i="9"/>
  <c r="F102" i="9"/>
  <c r="F195" i="9"/>
  <c r="F91" i="9"/>
  <c r="F286" i="9"/>
  <c r="F9" i="9"/>
  <c r="F271" i="9"/>
  <c r="F132" i="9"/>
  <c r="F282" i="9"/>
  <c r="F215" i="9"/>
  <c r="F213" i="9"/>
  <c r="F291" i="9"/>
  <c r="F39" i="9"/>
  <c r="F260" i="9"/>
  <c r="F81" i="9"/>
  <c r="F217" i="9"/>
  <c r="F163" i="9"/>
  <c r="F310" i="9"/>
  <c r="F2" i="9"/>
  <c r="F218" i="9"/>
  <c r="F37" i="9"/>
  <c r="F261" i="9"/>
  <c r="F295" i="9"/>
  <c r="F71" i="9"/>
  <c r="F76" i="9"/>
  <c r="F12" i="9"/>
  <c r="F168" i="9"/>
  <c r="F326" i="9"/>
  <c r="F27" i="9"/>
  <c r="F194" i="9"/>
  <c r="F301" i="9"/>
  <c r="F244" i="9"/>
  <c r="F44" i="9"/>
  <c r="F198" i="9"/>
  <c r="F157" i="9"/>
  <c r="F95" i="9"/>
  <c r="F179" i="9"/>
  <c r="F41" i="9"/>
  <c r="F97" i="9"/>
  <c r="F5" i="9"/>
  <c r="F128" i="9"/>
  <c r="F274" i="9"/>
  <c r="F31" i="9"/>
  <c r="F206" i="9"/>
  <c r="F323" i="9"/>
  <c r="F129" i="9"/>
  <c r="F219" i="9"/>
  <c r="F169" i="9"/>
  <c r="F307" i="9"/>
  <c r="F188" i="9"/>
  <c r="F210" i="9"/>
  <c r="F319" i="9"/>
  <c r="F13" i="9"/>
  <c r="F306" i="9"/>
  <c r="F52" i="9"/>
  <c r="F289" i="9"/>
  <c r="F283" i="9"/>
  <c r="F68" i="9"/>
  <c r="F257" i="9"/>
  <c r="F70" i="9"/>
  <c r="F84" i="9"/>
  <c r="F92" i="9"/>
  <c r="F226" i="9"/>
  <c r="F77" i="9"/>
  <c r="F89" i="9"/>
  <c r="F199" i="9"/>
  <c r="F33" i="9"/>
  <c r="F34" i="9"/>
  <c r="F152" i="9"/>
  <c r="F166" i="9"/>
  <c r="F29" i="9"/>
  <c r="F125" i="9"/>
  <c r="F54" i="9"/>
  <c r="F3" i="9"/>
  <c r="F232" i="9"/>
  <c r="F148" i="9"/>
  <c r="F305" i="9"/>
  <c r="F167" i="9"/>
  <c r="F136" i="9"/>
  <c r="F259" i="9"/>
  <c r="F250" i="9"/>
  <c r="F20" i="9"/>
  <c r="F176" i="9"/>
  <c r="F7" i="9"/>
  <c r="F211" i="9"/>
  <c r="F225" i="9"/>
  <c r="F158" i="9"/>
  <c r="F67" i="9"/>
  <c r="F110" i="9"/>
  <c r="F130" i="9"/>
  <c r="F106" i="9"/>
  <c r="F61" i="9"/>
  <c r="F10" i="9"/>
  <c r="F36" i="9"/>
  <c r="F74" i="9"/>
  <c r="F124" i="9"/>
  <c r="F186" i="9"/>
  <c r="F35" i="9"/>
  <c r="F66" i="9"/>
  <c r="F115" i="9"/>
  <c r="F165" i="9"/>
  <c r="F316" i="9"/>
  <c r="F223" i="9"/>
  <c r="F255" i="9"/>
  <c r="F235" i="9"/>
  <c r="F121" i="9"/>
  <c r="F240" i="9"/>
  <c r="F308" i="9"/>
  <c r="F141" i="9"/>
  <c r="F30" i="9"/>
  <c r="F276" i="9"/>
  <c r="F245" i="9"/>
  <c r="F273" i="9"/>
  <c r="F253" i="9"/>
  <c r="F296" i="9"/>
  <c r="F83" i="9"/>
  <c r="F266" i="9"/>
  <c r="F327" i="9"/>
  <c r="F241" i="9"/>
  <c r="F53" i="9"/>
  <c r="F279" i="9"/>
  <c r="F234" i="9"/>
  <c r="F137" i="9"/>
  <c r="F174" i="9"/>
  <c r="F189" i="9"/>
  <c r="F209" i="9"/>
  <c r="F153" i="9"/>
  <c r="F87" i="9"/>
  <c r="F243" i="9"/>
  <c r="F309" i="9"/>
  <c r="F126" i="9"/>
  <c r="F251" i="9"/>
  <c r="F320" i="9"/>
  <c r="F238" i="9"/>
  <c r="F258" i="9"/>
  <c r="F113" i="9"/>
  <c r="F207" i="9"/>
  <c r="F246" i="9"/>
  <c r="F101" i="9"/>
  <c r="F193" i="9"/>
  <c r="F123" i="9"/>
  <c r="F51" i="9"/>
  <c r="F265" i="9"/>
  <c r="F317" i="9"/>
  <c r="F212" i="9"/>
  <c r="F311" i="9"/>
  <c r="P281" i="9"/>
  <c r="P312" i="9"/>
  <c r="P318" i="9"/>
  <c r="P26" i="9"/>
  <c r="P171" i="9"/>
  <c r="P146" i="9"/>
  <c r="P79" i="9"/>
  <c r="P118" i="9"/>
  <c r="P55" i="9"/>
  <c r="P147" i="9"/>
  <c r="P48" i="9"/>
  <c r="P315" i="9"/>
  <c r="P190" i="9"/>
  <c r="P278" i="9"/>
  <c r="P262" i="9"/>
  <c r="P11" i="9"/>
  <c r="P254" i="9"/>
  <c r="P8" i="9"/>
  <c r="P263" i="9"/>
  <c r="P322" i="9"/>
  <c r="P105" i="9"/>
  <c r="P184" i="9"/>
  <c r="P6" i="9"/>
  <c r="P183" i="9"/>
  <c r="P73" i="9"/>
  <c r="P62" i="9"/>
  <c r="P177" i="9"/>
  <c r="P94" i="9"/>
  <c r="P58" i="9"/>
  <c r="P145" i="9"/>
  <c r="P325" i="9"/>
  <c r="P138" i="9"/>
  <c r="P256" i="9"/>
  <c r="P109" i="9"/>
  <c r="P60" i="9"/>
  <c r="P18" i="9"/>
  <c r="P321" i="9"/>
  <c r="P173" i="9"/>
  <c r="P313" i="9"/>
  <c r="P75" i="9"/>
  <c r="P230" i="9"/>
  <c r="P229" i="9"/>
  <c r="P56" i="9"/>
  <c r="P170" i="9"/>
  <c r="P99" i="9"/>
  <c r="P205" i="9"/>
  <c r="P131" i="9"/>
  <c r="P228" i="9"/>
  <c r="P275" i="9"/>
  <c r="P98" i="9"/>
  <c r="P134" i="9"/>
  <c r="P284" i="9"/>
  <c r="P25" i="9"/>
  <c r="P304" i="9"/>
  <c r="P277" i="9"/>
  <c r="P120" i="9"/>
  <c r="P122" i="9"/>
  <c r="P231" i="9"/>
  <c r="P100" i="9"/>
  <c r="P21" i="9"/>
  <c r="P139" i="9"/>
  <c r="P268" i="9"/>
  <c r="P64" i="9"/>
  <c r="P162" i="9"/>
  <c r="P133" i="9"/>
  <c r="P47" i="9"/>
  <c r="P264" i="9"/>
  <c r="P50" i="9"/>
  <c r="P142" i="9"/>
  <c r="P233" i="9"/>
  <c r="P63" i="9"/>
  <c r="P96" i="9"/>
  <c r="P40" i="9"/>
  <c r="P248" i="9"/>
  <c r="P43" i="9"/>
  <c r="P85" i="9"/>
  <c r="P160" i="9"/>
  <c r="P272" i="9"/>
  <c r="P22" i="9"/>
  <c r="P116" i="9"/>
  <c r="P280" i="9"/>
  <c r="P155" i="9"/>
  <c r="P180" i="9"/>
  <c r="P269" i="9"/>
  <c r="P247" i="9"/>
  <c r="P239" i="9"/>
  <c r="P288" i="9"/>
  <c r="P285" i="9"/>
  <c r="P221" i="9"/>
  <c r="P32" i="9"/>
  <c r="P149" i="9"/>
  <c r="P154" i="9"/>
  <c r="P203" i="9"/>
  <c r="P287" i="9"/>
  <c r="P69" i="9"/>
  <c r="P28" i="9"/>
  <c r="P49" i="9"/>
  <c r="P59" i="9"/>
  <c r="P178" i="9"/>
  <c r="P214" i="9"/>
  <c r="P65" i="9"/>
  <c r="P140" i="9"/>
  <c r="P107" i="9"/>
  <c r="P297" i="9"/>
  <c r="P267" i="9"/>
  <c r="P299" i="9"/>
  <c r="P236" i="9"/>
  <c r="P42" i="9"/>
  <c r="P227" i="9"/>
  <c r="P185" i="9"/>
  <c r="P294" i="9"/>
  <c r="P187" i="9"/>
  <c r="P80" i="9"/>
  <c r="P17" i="9"/>
  <c r="P237" i="9"/>
  <c r="P108" i="9"/>
  <c r="P249" i="9"/>
  <c r="P23" i="9"/>
  <c r="P302" i="9"/>
  <c r="P202" i="9"/>
  <c r="P164" i="9"/>
  <c r="P201" i="9"/>
  <c r="P19" i="9"/>
  <c r="P298" i="9"/>
  <c r="P242" i="9"/>
  <c r="P119" i="9"/>
  <c r="P175" i="9"/>
  <c r="P300" i="9"/>
  <c r="P114" i="9"/>
  <c r="P191" i="9"/>
  <c r="P200" i="9"/>
  <c r="P127" i="9"/>
  <c r="P216" i="9"/>
  <c r="P181" i="9"/>
  <c r="P90" i="9"/>
  <c r="P112" i="9"/>
  <c r="P86" i="9"/>
  <c r="P208" i="9"/>
  <c r="P78" i="9"/>
  <c r="P196" i="9"/>
  <c r="P4" i="9"/>
  <c r="P45" i="9"/>
  <c r="P82" i="9"/>
  <c r="P15" i="9"/>
  <c r="P88" i="9"/>
  <c r="P182" i="9"/>
  <c r="P161" i="9"/>
  <c r="P204" i="9"/>
  <c r="P220" i="9"/>
  <c r="P324" i="9"/>
  <c r="P151" i="9"/>
  <c r="P143" i="9"/>
  <c r="P293" i="9"/>
  <c r="P24" i="9"/>
  <c r="P192" i="9"/>
  <c r="P103" i="9"/>
  <c r="P292" i="9"/>
  <c r="P57" i="9"/>
  <c r="P72" i="9"/>
  <c r="P314" i="9"/>
  <c r="P14" i="9"/>
  <c r="P222" i="9"/>
  <c r="P159" i="9"/>
  <c r="P135" i="9"/>
  <c r="P197" i="9"/>
  <c r="P16" i="9"/>
  <c r="P117" i="9"/>
  <c r="P150" i="9"/>
  <c r="P303" i="9"/>
  <c r="P252" i="9"/>
  <c r="P93" i="9"/>
  <c r="P38" i="9"/>
  <c r="P144" i="9"/>
  <c r="P104" i="9"/>
  <c r="P290" i="9"/>
  <c r="P172" i="9"/>
  <c r="P46" i="9"/>
  <c r="P156" i="9"/>
  <c r="P270" i="9"/>
  <c r="P111" i="9"/>
  <c r="P224" i="9"/>
  <c r="P102" i="9"/>
  <c r="P195" i="9"/>
  <c r="P91" i="9"/>
  <c r="P286" i="9"/>
  <c r="P9" i="9"/>
  <c r="P271" i="9"/>
  <c r="P132" i="9"/>
  <c r="P282" i="9"/>
  <c r="P215" i="9"/>
  <c r="P213" i="9"/>
  <c r="P291" i="9"/>
  <c r="P39" i="9"/>
  <c r="P260" i="9"/>
  <c r="P81" i="9"/>
  <c r="P217" i="9"/>
  <c r="P163" i="9"/>
  <c r="P310" i="9"/>
  <c r="P2" i="9"/>
  <c r="P218" i="9"/>
  <c r="P37" i="9"/>
  <c r="P261" i="9"/>
  <c r="P295" i="9"/>
  <c r="P71" i="9"/>
  <c r="P76" i="9"/>
  <c r="P12" i="9"/>
  <c r="P168" i="9"/>
  <c r="P326" i="9"/>
  <c r="P27" i="9"/>
  <c r="P194" i="9"/>
  <c r="P301" i="9"/>
  <c r="P244" i="9"/>
  <c r="P44" i="9"/>
  <c r="P198" i="9"/>
  <c r="P157" i="9"/>
  <c r="P95" i="9"/>
  <c r="P179" i="9"/>
  <c r="P41" i="9"/>
  <c r="P97" i="9"/>
  <c r="P5" i="9"/>
  <c r="P128" i="9"/>
  <c r="P274" i="9"/>
  <c r="P31" i="9"/>
  <c r="P206" i="9"/>
  <c r="P323" i="9"/>
  <c r="P129" i="9"/>
  <c r="P219" i="9"/>
  <c r="P169" i="9"/>
  <c r="P307" i="9"/>
  <c r="P188" i="9"/>
  <c r="P210" i="9"/>
  <c r="P319" i="9"/>
  <c r="P13" i="9"/>
  <c r="P306" i="9"/>
  <c r="P52" i="9"/>
  <c r="P289" i="9"/>
  <c r="P283" i="9"/>
  <c r="P68" i="9"/>
  <c r="P257" i="9"/>
  <c r="P70" i="9"/>
  <c r="P84" i="9"/>
  <c r="P92" i="9"/>
  <c r="P226" i="9"/>
  <c r="P77" i="9"/>
  <c r="P89" i="9"/>
  <c r="P199" i="9"/>
  <c r="P33" i="9"/>
  <c r="P34" i="9"/>
  <c r="P152" i="9"/>
  <c r="P166" i="9"/>
  <c r="P29" i="9"/>
  <c r="P125" i="9"/>
  <c r="P54" i="9"/>
  <c r="P3" i="9"/>
  <c r="P232" i="9"/>
  <c r="P148" i="9"/>
  <c r="P305" i="9"/>
  <c r="P167" i="9"/>
  <c r="P136" i="9"/>
  <c r="P259" i="9"/>
  <c r="P250" i="9"/>
  <c r="P20" i="9"/>
  <c r="P176" i="9"/>
  <c r="P7" i="9"/>
  <c r="P211" i="9"/>
  <c r="P225" i="9"/>
  <c r="P158" i="9"/>
  <c r="P67" i="9"/>
  <c r="P110" i="9"/>
  <c r="P130" i="9"/>
  <c r="P106" i="9"/>
  <c r="P61" i="9"/>
  <c r="P10" i="9"/>
  <c r="P36" i="9"/>
  <c r="P74" i="9"/>
  <c r="P124" i="9"/>
  <c r="P186" i="9"/>
  <c r="P35" i="9"/>
  <c r="P66" i="9"/>
  <c r="P115" i="9"/>
  <c r="P165" i="9"/>
  <c r="P316" i="9"/>
  <c r="P223" i="9"/>
  <c r="P255" i="9"/>
  <c r="P235" i="9"/>
  <c r="P121" i="9"/>
  <c r="P240" i="9"/>
  <c r="P308" i="9"/>
  <c r="P141" i="9"/>
  <c r="P30" i="9"/>
  <c r="P276" i="9"/>
  <c r="P245" i="9"/>
  <c r="P273" i="9"/>
  <c r="P253" i="9"/>
  <c r="P296" i="9"/>
  <c r="P83" i="9"/>
  <c r="P266" i="9"/>
  <c r="P327" i="9"/>
  <c r="P241" i="9"/>
  <c r="P53" i="9"/>
  <c r="P279" i="9"/>
  <c r="P234" i="9"/>
  <c r="P137" i="9"/>
  <c r="P174" i="9"/>
  <c r="P189" i="9"/>
  <c r="P209" i="9"/>
  <c r="P153" i="9"/>
  <c r="P87" i="9"/>
  <c r="P243" i="9"/>
  <c r="P309" i="9"/>
  <c r="P126" i="9"/>
  <c r="P251" i="9"/>
  <c r="P320" i="9"/>
  <c r="P238" i="9"/>
  <c r="P258" i="9"/>
  <c r="P113" i="9"/>
  <c r="P207" i="9"/>
  <c r="P246" i="9"/>
  <c r="P101" i="9"/>
  <c r="P193" i="9"/>
  <c r="P123" i="9"/>
  <c r="P51" i="9"/>
  <c r="P265" i="9"/>
  <c r="P317" i="9"/>
  <c r="P212" i="9"/>
  <c r="P311" i="9"/>
  <c r="C27" i="15"/>
  <c r="C28" i="15"/>
  <c r="C36" i="15"/>
  <c r="C29" i="15"/>
  <c r="C37" i="15"/>
  <c r="C30" i="15"/>
  <c r="C38" i="15"/>
  <c r="C35" i="15"/>
  <c r="C31" i="15"/>
  <c r="C39" i="15"/>
  <c r="C32" i="15"/>
  <c r="C40" i="15"/>
  <c r="C33" i="15"/>
  <c r="C41" i="15"/>
  <c r="C34" i="15"/>
  <c r="AA33" i="9" l="1"/>
  <c r="AC33" i="9" s="1" a="1"/>
  <c r="AC33" i="9" s="1"/>
  <c r="AA2" i="9"/>
  <c r="AA290" i="9"/>
  <c r="AC290" i="9" s="1" a="1"/>
  <c r="AC290" i="9" s="1"/>
  <c r="AA253" i="9"/>
  <c r="AC253" i="9" s="1" a="1"/>
  <c r="AC253" i="9" s="1"/>
  <c r="AA199" i="9"/>
  <c r="AC199" i="9" s="1" a="1"/>
  <c r="AC199" i="9" s="1"/>
  <c r="A4" i="7"/>
  <c r="A5" i="7" s="1"/>
  <c r="A6" i="7" s="1"/>
  <c r="A7" i="7" s="1"/>
  <c r="A8" i="7" s="1"/>
  <c r="A9" i="7" s="1"/>
  <c r="A10" i="7" s="1"/>
  <c r="A11" i="7" s="1"/>
  <c r="A12" i="7" s="1"/>
  <c r="A13" i="7" s="1"/>
  <c r="A14" i="7" s="1"/>
  <c r="A15" i="7" s="1"/>
  <c r="C334" i="9"/>
  <c r="B4" i="7"/>
  <c r="A16" i="7"/>
  <c r="A17" i="7" s="1"/>
  <c r="A18" i="7" s="1"/>
  <c r="A19" i="7" s="1"/>
  <c r="A20" i="7" s="1"/>
  <c r="A21" i="7" s="1"/>
  <c r="A22" i="7" s="1"/>
  <c r="A23" i="7" s="1"/>
  <c r="A24" i="7" s="1"/>
  <c r="A25" i="7" s="1"/>
  <c r="A26" i="7" s="1"/>
  <c r="A27" i="7" s="1"/>
  <c r="B27" i="7" s="1"/>
  <c r="D122" i="10"/>
  <c r="D121" i="10" a="1"/>
  <c r="D121" i="10" s="1"/>
  <c r="D119" i="10"/>
  <c r="AA54" i="9"/>
  <c r="AC54" i="9" s="1" a="1"/>
  <c r="AC54" i="9" s="1"/>
  <c r="AA89" i="9"/>
  <c r="AC89" i="9" s="1" a="1"/>
  <c r="AC89" i="9" s="1"/>
  <c r="AA282" i="9"/>
  <c r="AC282" i="9" s="1" a="1"/>
  <c r="AC282" i="9" s="1"/>
  <c r="AA224" i="9"/>
  <c r="AC224" i="9" s="1" a="1"/>
  <c r="AC224" i="9" s="1"/>
  <c r="AA292" i="9"/>
  <c r="AC292" i="9" s="1" a="1"/>
  <c r="AC292" i="9" s="1"/>
  <c r="AA220" i="9"/>
  <c r="AC220" i="9" s="1" a="1"/>
  <c r="AC220" i="9" s="1"/>
  <c r="AA4" i="9"/>
  <c r="AC4" i="9" s="1" a="1"/>
  <c r="AC4" i="9" s="1"/>
  <c r="AA249" i="9"/>
  <c r="AC249" i="9" s="1" a="1"/>
  <c r="AC249" i="9" s="1"/>
  <c r="AA227" i="9"/>
  <c r="AC227" i="9" s="1" a="1"/>
  <c r="AC227" i="9" s="1"/>
  <c r="AA247" i="9"/>
  <c r="AC247" i="9" s="1" a="1"/>
  <c r="AC247" i="9" s="1"/>
  <c r="AA25" i="9"/>
  <c r="AC25" i="9" s="1" a="1"/>
  <c r="AC25" i="9" s="1"/>
  <c r="AA99" i="9"/>
  <c r="AC99" i="9" s="1" a="1"/>
  <c r="AC99" i="9" s="1"/>
  <c r="B5" i="7"/>
  <c r="AA72" i="9"/>
  <c r="AC72" i="9" s="1" a="1"/>
  <c r="AC72" i="9" s="1"/>
  <c r="AA266" i="9"/>
  <c r="AC266" i="9" s="1" a="1"/>
  <c r="AC266" i="9" s="1"/>
  <c r="AA305" i="9"/>
  <c r="AC305" i="9" s="1" a="1"/>
  <c r="AC305" i="9" s="1"/>
  <c r="AA323" i="9"/>
  <c r="AC323" i="9" s="1" a="1"/>
  <c r="AC323" i="9" s="1"/>
  <c r="AA27" i="9"/>
  <c r="AC27" i="9" s="1" a="1"/>
  <c r="AC27" i="9" s="1"/>
  <c r="AA37" i="9"/>
  <c r="AC37" i="9" s="1" a="1"/>
  <c r="AC37" i="9" s="1"/>
  <c r="AA293" i="9"/>
  <c r="AC293" i="9" s="1" a="1"/>
  <c r="AC293" i="9" s="1"/>
  <c r="AA86" i="9"/>
  <c r="AC86" i="9" s="1" a="1"/>
  <c r="AC86" i="9" s="1"/>
  <c r="AA164" i="9"/>
  <c r="AC164" i="9" s="1" a="1"/>
  <c r="AC164" i="9" s="1"/>
  <c r="AA80" i="9"/>
  <c r="AC80" i="9" s="1" a="1"/>
  <c r="AC80" i="9" s="1"/>
  <c r="AA122" i="9"/>
  <c r="AC122" i="9" s="1" a="1"/>
  <c r="AC122" i="9" s="1"/>
  <c r="AA275" i="9"/>
  <c r="AC275" i="9" s="1" a="1"/>
  <c r="AC275" i="9" s="1"/>
  <c r="AA256" i="9"/>
  <c r="AC256" i="9" s="1" a="1"/>
  <c r="AC256" i="9" s="1"/>
  <c r="AA240" i="9"/>
  <c r="AC240" i="9" s="1" a="1"/>
  <c r="AC240" i="9" s="1"/>
  <c r="AA213" i="9"/>
  <c r="AC213" i="9" s="1" a="1"/>
  <c r="AC213" i="9" s="1"/>
  <c r="AA20" i="9"/>
  <c r="AC20" i="9" s="1" a="1"/>
  <c r="AC20" i="9" s="1"/>
  <c r="AA283" i="9"/>
  <c r="AC283" i="9" s="1" a="1"/>
  <c r="AC283" i="9" s="1"/>
  <c r="AA307" i="9"/>
  <c r="AC307" i="9" s="1" a="1"/>
  <c r="AC307" i="9" s="1"/>
  <c r="AA44" i="9"/>
  <c r="AC44" i="9" s="1" a="1"/>
  <c r="AC44" i="9" s="1"/>
  <c r="AA171" i="9"/>
  <c r="AC171" i="9" s="1" a="1"/>
  <c r="AC171" i="9" s="1"/>
  <c r="AA242" i="9"/>
  <c r="AC242" i="9" s="1" a="1"/>
  <c r="AC242" i="9" s="1"/>
  <c r="AA203" i="9"/>
  <c r="AC203" i="9" s="1" a="1"/>
  <c r="AC203" i="9" s="1"/>
  <c r="AA317" i="9"/>
  <c r="AC317" i="9" s="1" a="1"/>
  <c r="AC317" i="9" s="1"/>
  <c r="AA67" i="9"/>
  <c r="AC67" i="9" s="1" a="1"/>
  <c r="AC67" i="9" s="1"/>
  <c r="AA111" i="9"/>
  <c r="AC111" i="9" s="1" a="1"/>
  <c r="AC111" i="9" s="1"/>
  <c r="AA204" i="9"/>
  <c r="AC204" i="9" s="1" a="1"/>
  <c r="AC204" i="9" s="1"/>
  <c r="AA42" i="9"/>
  <c r="AC42" i="9" s="1" a="1"/>
  <c r="AC42" i="9" s="1"/>
  <c r="AA50" i="9"/>
  <c r="AC50" i="9" s="1" a="1"/>
  <c r="AC50" i="9" s="1"/>
  <c r="AA284" i="9"/>
  <c r="AC284" i="9" s="1" a="1"/>
  <c r="AC284" i="9" s="1"/>
  <c r="AA94" i="9"/>
  <c r="AC94" i="9" s="1" a="1"/>
  <c r="AC94" i="9" s="1"/>
  <c r="AA322" i="9"/>
  <c r="AC322" i="9" s="1" a="1"/>
  <c r="AC322" i="9" s="1"/>
  <c r="AA315" i="9"/>
  <c r="AC315" i="9" s="1" a="1"/>
  <c r="AC315" i="9" s="1"/>
  <c r="AA245" i="9"/>
  <c r="AC245" i="9" s="1" a="1"/>
  <c r="AC245" i="9" s="1"/>
  <c r="AA77" i="9"/>
  <c r="AC77" i="9" s="1" a="1"/>
  <c r="AC77" i="9" s="1"/>
  <c r="AA217" i="9"/>
  <c r="AC217" i="9" s="1" a="1"/>
  <c r="AC217" i="9" s="1"/>
  <c r="AA38" i="9"/>
  <c r="AC38" i="9" s="1" a="1"/>
  <c r="AC38" i="9" s="1"/>
  <c r="AA127" i="9"/>
  <c r="AC127" i="9" s="1" a="1"/>
  <c r="AC127" i="9" s="1"/>
  <c r="AA85" i="9"/>
  <c r="AC85" i="9" s="1" a="1"/>
  <c r="AC85" i="9" s="1"/>
  <c r="AA170" i="9"/>
  <c r="AC170" i="9" s="1" a="1"/>
  <c r="AC170" i="9" s="1"/>
  <c r="AA87" i="9"/>
  <c r="AC87" i="9" s="1" a="1"/>
  <c r="AC87" i="9" s="1"/>
  <c r="AA259" i="9"/>
  <c r="AC259" i="9" s="1" a="1"/>
  <c r="AC259" i="9" s="1"/>
  <c r="AA71" i="9"/>
  <c r="AC71" i="9" s="1" a="1"/>
  <c r="AC71" i="9" s="1"/>
  <c r="AA132" i="9"/>
  <c r="AC132" i="9" s="1" a="1"/>
  <c r="AC132" i="9" s="1"/>
  <c r="AA196" i="9"/>
  <c r="AC196" i="9" s="1" a="1"/>
  <c r="AC196" i="9" s="1"/>
  <c r="AA214" i="9"/>
  <c r="AC214" i="9" s="1" a="1"/>
  <c r="AC214" i="9" s="1"/>
  <c r="AA21" i="9"/>
  <c r="AC21" i="9" s="1" a="1"/>
  <c r="AC21" i="9" s="1"/>
  <c r="AA18" i="9"/>
  <c r="AC18" i="9" s="1" a="1"/>
  <c r="AC18" i="9" s="1"/>
  <c r="AA53" i="9"/>
  <c r="AC53" i="9" s="1" a="1"/>
  <c r="AC53" i="9" s="1"/>
  <c r="AA125" i="9"/>
  <c r="AC125" i="9" s="1" a="1"/>
  <c r="AC125" i="9" s="1"/>
  <c r="AA103" i="9"/>
  <c r="AC103" i="9" s="1" a="1"/>
  <c r="AC103" i="9" s="1"/>
  <c r="AA165" i="9"/>
  <c r="AC165" i="9" s="1" a="1"/>
  <c r="AC165" i="9" s="1"/>
  <c r="AA113" i="9"/>
  <c r="AC113" i="9" s="1" a="1"/>
  <c r="AC113" i="9" s="1"/>
  <c r="AA124" i="9"/>
  <c r="AC124" i="9" s="1" a="1"/>
  <c r="AC124" i="9" s="1"/>
  <c r="AA5" i="9"/>
  <c r="AC5" i="9" s="1" a="1"/>
  <c r="AC5" i="9" s="1"/>
  <c r="AA135" i="9"/>
  <c r="AC135" i="9" s="1" a="1"/>
  <c r="AC135" i="9" s="1"/>
  <c r="AA255" i="9"/>
  <c r="AC255" i="9" s="1" a="1"/>
  <c r="AC255" i="9" s="1"/>
  <c r="AA232" i="9"/>
  <c r="AC232" i="9" s="1" a="1"/>
  <c r="AC232" i="9" s="1"/>
  <c r="AA151" i="9"/>
  <c r="AC151" i="9" s="1" a="1"/>
  <c r="AC151" i="9" s="1"/>
  <c r="AA289" i="9"/>
  <c r="AC289" i="9" s="1" a="1"/>
  <c r="AC289" i="9" s="1"/>
  <c r="AA169" i="9"/>
  <c r="AC169" i="9" s="1" a="1"/>
  <c r="AC169" i="9" s="1"/>
  <c r="AA244" i="9"/>
  <c r="AC244" i="9" s="1" a="1"/>
  <c r="AC244" i="9" s="1"/>
  <c r="AA26" i="9"/>
  <c r="AC26" i="9" s="1" a="1"/>
  <c r="AC26" i="9" s="1"/>
  <c r="AA189" i="9"/>
  <c r="AC189" i="9" s="1" a="1"/>
  <c r="AC189" i="9" s="1"/>
  <c r="AA10" i="9"/>
  <c r="AC10" i="9" s="1" a="1"/>
  <c r="AC10" i="9" s="1"/>
  <c r="AA251" i="9"/>
  <c r="AC251" i="9" s="1" a="1"/>
  <c r="AC251" i="9" s="1"/>
  <c r="AA174" i="9"/>
  <c r="AC174" i="9" s="1" a="1"/>
  <c r="AC174" i="9" s="1"/>
  <c r="AA61" i="9"/>
  <c r="AC61" i="9" s="1" a="1"/>
  <c r="AC61" i="9" s="1"/>
  <c r="AA34" i="9"/>
  <c r="AC34" i="9" s="1" a="1"/>
  <c r="AC34" i="9" s="1"/>
  <c r="AA319" i="9"/>
  <c r="AC319" i="9" s="1" a="1"/>
  <c r="AC319" i="9" s="1"/>
  <c r="AA326" i="9"/>
  <c r="AC326" i="9" s="1" a="1"/>
  <c r="AC326" i="9" s="1"/>
  <c r="AA218" i="9"/>
  <c r="AC218" i="9" s="1" a="1"/>
  <c r="AC218" i="9" s="1"/>
  <c r="AA172" i="9"/>
  <c r="AC172" i="9" s="1" a="1"/>
  <c r="AC172" i="9" s="1"/>
  <c r="AA150" i="9"/>
  <c r="AC150" i="9" s="1" a="1"/>
  <c r="AC150" i="9" s="1"/>
  <c r="AA15" i="9"/>
  <c r="AC15" i="9" s="1" a="1"/>
  <c r="AC15" i="9" s="1"/>
  <c r="AA202" i="9"/>
  <c r="AC202" i="9" s="1" a="1"/>
  <c r="AC202" i="9" s="1"/>
  <c r="AA28" i="9"/>
  <c r="AC28" i="9" s="1" a="1"/>
  <c r="AC28" i="9" s="1"/>
  <c r="AA285" i="9"/>
  <c r="AC285" i="9" s="1" a="1"/>
  <c r="AC285" i="9" s="1"/>
  <c r="AA162" i="9"/>
  <c r="AC162" i="9" s="1" a="1"/>
  <c r="AC162" i="9" s="1"/>
  <c r="AA311" i="9"/>
  <c r="AA296" i="9"/>
  <c r="AC296" i="9" s="1" a="1"/>
  <c r="AC296" i="9" s="1"/>
  <c r="AA117" i="9"/>
  <c r="AC117" i="9" s="1" a="1"/>
  <c r="AC117" i="9" s="1"/>
  <c r="AA35" i="9"/>
  <c r="AC35" i="9" s="1" a="1"/>
  <c r="AC35" i="9" s="1"/>
  <c r="AA269" i="9"/>
  <c r="AC269" i="9" s="1" a="1"/>
  <c r="AC269" i="9" s="1"/>
  <c r="AA235" i="9"/>
  <c r="AC235" i="9" s="1" a="1"/>
  <c r="AC235" i="9" s="1"/>
  <c r="AA207" i="9"/>
  <c r="AC207" i="9" s="1" a="1"/>
  <c r="AC207" i="9" s="1"/>
  <c r="AA110" i="9"/>
  <c r="AC110" i="9" s="1" a="1"/>
  <c r="AC110" i="9" s="1"/>
  <c r="AA243" i="9"/>
  <c r="AC243" i="9" s="1" a="1"/>
  <c r="AC243" i="9" s="1"/>
  <c r="AA279" i="9"/>
  <c r="AC279" i="9" s="1" a="1"/>
  <c r="AC279" i="9" s="1"/>
  <c r="AA250" i="9"/>
  <c r="AC250" i="9" s="1" a="1"/>
  <c r="AC250" i="9" s="1"/>
  <c r="AA51" i="9"/>
  <c r="AC51" i="9" s="1" a="1"/>
  <c r="AC51" i="9" s="1"/>
  <c r="AA238" i="9"/>
  <c r="AC238" i="9" s="1" a="1"/>
  <c r="AC238" i="9" s="1"/>
  <c r="AA209" i="9"/>
  <c r="AC209" i="9" s="1" a="1"/>
  <c r="AC209" i="9" s="1"/>
  <c r="AA327" i="9"/>
  <c r="AC327" i="9" s="1" a="1"/>
  <c r="AC327" i="9" s="1"/>
  <c r="AA316" i="9"/>
  <c r="AC316" i="9" s="1" a="1"/>
  <c r="AC316" i="9" s="1"/>
  <c r="AA36" i="9"/>
  <c r="AC36" i="9" s="1" a="1"/>
  <c r="AC36" i="9" s="1"/>
  <c r="AA225" i="9"/>
  <c r="AC225" i="9" s="1" a="1"/>
  <c r="AC225" i="9" s="1"/>
  <c r="AA306" i="9"/>
  <c r="AC306" i="9" s="1" a="1"/>
  <c r="AC306" i="9" s="1"/>
  <c r="AA261" i="9"/>
  <c r="AC261" i="9" s="1" a="1"/>
  <c r="AC261" i="9" s="1"/>
  <c r="AA208" i="9"/>
  <c r="AC208" i="9" s="1" a="1"/>
  <c r="AC208" i="9" s="1"/>
  <c r="AA191" i="9"/>
  <c r="AC191" i="9" s="1" a="1"/>
  <c r="AC191" i="9" s="1"/>
  <c r="AA59" i="9"/>
  <c r="AC59" i="9" s="1" a="1"/>
  <c r="AC59" i="9" s="1"/>
  <c r="AA32" i="9"/>
  <c r="AC32" i="9" s="1" a="1"/>
  <c r="AC32" i="9" s="1"/>
  <c r="AA248" i="9"/>
  <c r="AC248" i="9" s="1" a="1"/>
  <c r="AC248" i="9" s="1"/>
  <c r="AA312" i="9"/>
  <c r="AC312" i="9" s="1" a="1"/>
  <c r="AC312" i="9" s="1"/>
  <c r="AA212" i="9"/>
  <c r="AC212" i="9" s="1" a="1"/>
  <c r="AC212" i="9" s="1"/>
  <c r="AA108" i="9"/>
  <c r="AC108" i="9" s="1" a="1"/>
  <c r="AC108" i="9" s="1"/>
  <c r="AA154" i="9"/>
  <c r="AC154" i="9" s="1" a="1"/>
  <c r="AC154" i="9" s="1"/>
  <c r="AA320" i="9"/>
  <c r="AC320" i="9" s="1" a="1"/>
  <c r="AC320" i="9" s="1"/>
  <c r="AA84" i="9"/>
  <c r="AC84" i="9" s="1" a="1"/>
  <c r="AC84" i="9" s="1"/>
  <c r="AA13" i="9"/>
  <c r="AC13" i="9" s="1" a="1"/>
  <c r="AC13" i="9" s="1"/>
  <c r="AA55" i="9"/>
  <c r="AC55" i="9" s="1" a="1"/>
  <c r="AC55" i="9" s="1"/>
  <c r="AA281" i="9"/>
  <c r="AC281" i="9" s="1" a="1"/>
  <c r="AC281" i="9" s="1"/>
  <c r="AA273" i="9"/>
  <c r="AC273" i="9" s="1" a="1"/>
  <c r="AC273" i="9" s="1"/>
  <c r="AA193" i="9"/>
  <c r="AC193" i="9" s="1" a="1"/>
  <c r="AC193" i="9" s="1"/>
  <c r="AA308" i="9"/>
  <c r="AC308" i="9" s="1" a="1"/>
  <c r="AC308" i="9" s="1"/>
  <c r="AA7" i="9"/>
  <c r="AC7" i="9" s="1" a="1"/>
  <c r="AC7" i="9" s="1"/>
  <c r="AA148" i="9"/>
  <c r="AC148" i="9" s="1" a="1"/>
  <c r="AC148" i="9" s="1"/>
  <c r="AA206" i="9"/>
  <c r="AC206" i="9" s="1" a="1"/>
  <c r="AC206" i="9" s="1"/>
  <c r="AA291" i="9"/>
  <c r="AC291" i="9" s="1" a="1"/>
  <c r="AC291" i="9" s="1"/>
  <c r="AA143" i="9"/>
  <c r="AC143" i="9" s="1" a="1"/>
  <c r="AC143" i="9" s="1"/>
  <c r="AA300" i="9"/>
  <c r="AC300" i="9" s="1" a="1"/>
  <c r="AC300" i="9" s="1"/>
  <c r="AA297" i="9"/>
  <c r="AC297" i="9" s="1" a="1"/>
  <c r="AC297" i="9" s="1"/>
  <c r="AA183" i="9"/>
  <c r="AC183" i="9" s="1" a="1"/>
  <c r="AC183" i="9" s="1"/>
  <c r="AA118" i="9"/>
  <c r="AC118" i="9" s="1" a="1"/>
  <c r="AC118" i="9" s="1"/>
  <c r="AA309" i="9"/>
  <c r="AC309" i="9" s="1" a="1"/>
  <c r="AC309" i="9" s="1"/>
  <c r="AA3" i="9"/>
  <c r="AC3" i="9" s="1" a="1"/>
  <c r="AC3" i="9" s="1"/>
  <c r="AA265" i="9"/>
  <c r="AC265" i="9" s="1" a="1"/>
  <c r="AC265" i="9" s="1"/>
  <c r="AA258" i="9"/>
  <c r="AC258" i="9" s="1" a="1"/>
  <c r="AC258" i="9" s="1"/>
  <c r="AA241" i="9"/>
  <c r="AC241" i="9" s="1" a="1"/>
  <c r="AC241" i="9" s="1"/>
  <c r="AA276" i="9"/>
  <c r="AC276" i="9" s="1" a="1"/>
  <c r="AC276" i="9" s="1"/>
  <c r="AA223" i="9"/>
  <c r="AC223" i="9" s="1" a="1"/>
  <c r="AC223" i="9" s="1"/>
  <c r="AA29" i="9"/>
  <c r="AC29" i="9" s="1" a="1"/>
  <c r="AC29" i="9" s="1"/>
  <c r="AA226" i="9"/>
  <c r="AC226" i="9" s="1" a="1"/>
  <c r="AC226" i="9" s="1"/>
  <c r="AA52" i="9"/>
  <c r="AC52" i="9" s="1" a="1"/>
  <c r="AC52" i="9" s="1"/>
  <c r="AA219" i="9"/>
  <c r="AC219" i="9" s="1" a="1"/>
  <c r="AC219" i="9" s="1"/>
  <c r="AA295" i="9"/>
  <c r="AC295" i="9" s="1" a="1"/>
  <c r="AC295" i="9" s="1"/>
  <c r="AA271" i="9"/>
  <c r="AC271" i="9" s="1" a="1"/>
  <c r="AC271" i="9" s="1"/>
  <c r="AA270" i="9"/>
  <c r="AC270" i="9" s="1" a="1"/>
  <c r="AC270" i="9" s="1"/>
  <c r="AA192" i="9"/>
  <c r="AC192" i="9" s="1" a="1"/>
  <c r="AC192" i="9" s="1"/>
  <c r="AA161" i="9"/>
  <c r="AC161" i="9" s="1" a="1"/>
  <c r="AC161" i="9" s="1"/>
  <c r="AA200" i="9"/>
  <c r="AC200" i="9" s="1" a="1"/>
  <c r="AC200" i="9" s="1"/>
  <c r="AA237" i="9"/>
  <c r="AC237" i="9" s="1" a="1"/>
  <c r="AC237" i="9" s="1"/>
  <c r="AA236" i="9"/>
  <c r="AC236" i="9" s="1" a="1"/>
  <c r="AC236" i="9" s="1"/>
  <c r="AA43" i="9"/>
  <c r="AC43" i="9" s="1" a="1"/>
  <c r="AC43" i="9" s="1"/>
  <c r="AA56" i="9"/>
  <c r="AC56" i="9" s="1" a="1"/>
  <c r="AC56" i="9" s="1"/>
  <c r="AA60" i="9"/>
  <c r="AC60" i="9" s="1" a="1"/>
  <c r="AC60" i="9" s="1"/>
  <c r="AA177" i="9"/>
  <c r="AC177" i="9" s="1" a="1"/>
  <c r="AC177" i="9" s="1"/>
  <c r="AA48" i="9"/>
  <c r="AC48" i="9" s="1" a="1"/>
  <c r="AC48" i="9" s="1"/>
  <c r="AA318" i="9"/>
  <c r="AC318" i="9" s="1" a="1"/>
  <c r="AC318" i="9" s="1"/>
  <c r="AA30" i="9"/>
  <c r="AC30" i="9" s="1" a="1"/>
  <c r="AC30" i="9" s="1"/>
  <c r="AA92" i="9"/>
  <c r="AC92" i="9" s="1" a="1"/>
  <c r="AC92" i="9" s="1"/>
  <c r="AA252" i="9"/>
  <c r="AC252" i="9" s="1" a="1"/>
  <c r="AC252" i="9" s="1"/>
  <c r="AA98" i="9"/>
  <c r="AC98" i="9" s="1" a="1"/>
  <c r="AC98" i="9" s="1"/>
  <c r="AA123" i="9"/>
  <c r="AC123" i="9" s="1" a="1"/>
  <c r="AC123" i="9" s="1"/>
  <c r="AA211" i="9"/>
  <c r="AC211" i="9" s="1" a="1"/>
  <c r="AC211" i="9" s="1"/>
  <c r="AA39" i="9"/>
  <c r="AC39" i="9" s="1" a="1"/>
  <c r="AC39" i="9" s="1"/>
  <c r="AA286" i="9"/>
  <c r="AC286" i="9" s="1" a="1"/>
  <c r="AC286" i="9" s="1"/>
  <c r="AA115" i="9"/>
  <c r="AC115" i="9" s="1" a="1"/>
  <c r="AC115" i="9" s="1"/>
  <c r="AA95" i="9"/>
  <c r="AC95" i="9" s="1" a="1"/>
  <c r="AC95" i="9" s="1"/>
  <c r="AA314" i="9"/>
  <c r="AC314" i="9" s="1" a="1"/>
  <c r="AC314" i="9" s="1"/>
  <c r="AA210" i="9"/>
  <c r="AC210" i="9" s="1" a="1"/>
  <c r="AC210" i="9" s="1"/>
  <c r="AA298" i="9"/>
  <c r="AC298" i="9" s="1" a="1"/>
  <c r="AC298" i="9" s="1"/>
  <c r="AA88" i="9"/>
  <c r="AC88" i="9" s="1" a="1"/>
  <c r="AC88" i="9" s="1"/>
  <c r="Z78" i="9"/>
  <c r="AA78" i="9" s="1"/>
  <c r="AC78" i="9" s="1" a="1"/>
  <c r="AC78" i="9" s="1"/>
  <c r="AA19" i="9"/>
  <c r="AC19" i="9" s="1" a="1"/>
  <c r="AC19" i="9" s="1"/>
  <c r="Z178" i="9"/>
  <c r="AA178" i="9" s="1"/>
  <c r="AC178" i="9" s="1" a="1"/>
  <c r="AC178" i="9" s="1"/>
  <c r="Z149" i="9"/>
  <c r="AA149" i="9" s="1"/>
  <c r="AC149" i="9" s="1" a="1"/>
  <c r="AC149" i="9" s="1"/>
  <c r="Z180" i="9"/>
  <c r="AA180" i="9" s="1"/>
  <c r="AC180" i="9" s="1" a="1"/>
  <c r="AC180" i="9" s="1"/>
  <c r="AA264" i="9"/>
  <c r="AC264" i="9" s="1" a="1"/>
  <c r="AC264" i="9" s="1"/>
  <c r="AA100" i="9"/>
  <c r="AC100" i="9" s="1" a="1"/>
  <c r="AC100" i="9" s="1"/>
  <c r="Z134" i="9"/>
  <c r="AA134" i="9" s="1"/>
  <c r="AC134" i="9" s="1" a="1"/>
  <c r="AC134" i="9" s="1"/>
  <c r="AA49" i="9"/>
  <c r="AC49" i="9" s="1" a="1"/>
  <c r="AC49" i="9" s="1"/>
  <c r="Z121" i="9"/>
  <c r="AA121" i="9" s="1"/>
  <c r="AC121" i="9" s="1" a="1"/>
  <c r="AC121" i="9" s="1"/>
  <c r="Z263" i="9"/>
  <c r="AA263" i="9" s="1"/>
  <c r="AC263" i="9" s="1" a="1"/>
  <c r="AC263" i="9" s="1"/>
  <c r="Z141" i="9"/>
  <c r="AA141" i="9" s="1"/>
  <c r="AC141" i="9" s="1" a="1"/>
  <c r="AC141" i="9" s="1"/>
  <c r="AA179" i="9"/>
  <c r="AC179" i="9" s="1" a="1"/>
  <c r="AC179" i="9" s="1"/>
  <c r="Z46" i="9"/>
  <c r="AA46" i="9" s="1"/>
  <c r="AC46" i="9" s="1" a="1"/>
  <c r="AC46" i="9" s="1"/>
  <c r="Z152" i="9"/>
  <c r="AA152" i="9" s="1"/>
  <c r="AC152" i="9" s="1" a="1"/>
  <c r="AC152" i="9" s="1"/>
  <c r="Z68" i="9"/>
  <c r="AA68" i="9" s="1"/>
  <c r="AC68" i="9" s="1" a="1"/>
  <c r="AC68" i="9" s="1"/>
  <c r="AA254" i="9"/>
  <c r="AC254" i="9" s="1" a="1"/>
  <c r="AC254" i="9" s="1"/>
  <c r="AA228" i="9"/>
  <c r="AC228" i="9" s="1" a="1"/>
  <c r="AC228" i="9" s="1"/>
  <c r="AA267" i="9"/>
  <c r="AC267" i="9" s="1" a="1"/>
  <c r="AC267" i="9" s="1"/>
  <c r="AA82" i="9"/>
  <c r="AC82" i="9" s="1" a="1"/>
  <c r="AC82" i="9" s="1"/>
  <c r="AA302" i="9"/>
  <c r="AC302" i="9" s="1" a="1"/>
  <c r="AC302" i="9" s="1"/>
  <c r="AA294" i="9"/>
  <c r="AC294" i="9" s="1" a="1"/>
  <c r="AC294" i="9" s="1"/>
  <c r="AA107" i="9"/>
  <c r="AC107" i="9" s="1" a="1"/>
  <c r="AC107" i="9" s="1"/>
  <c r="AA288" i="9"/>
  <c r="AC288" i="9" s="1" a="1"/>
  <c r="AC288" i="9" s="1"/>
  <c r="AA22" i="9"/>
  <c r="AC22" i="9" s="1" a="1"/>
  <c r="AC22" i="9" s="1"/>
  <c r="AA63" i="9"/>
  <c r="AC63" i="9" s="1" a="1"/>
  <c r="AC63" i="9" s="1"/>
  <c r="AA64" i="9"/>
  <c r="AC64" i="9" s="1" a="1"/>
  <c r="AC64" i="9" s="1"/>
  <c r="AA277" i="9"/>
  <c r="AC277" i="9" s="1" a="1"/>
  <c r="AC277" i="9" s="1"/>
  <c r="AA131" i="9"/>
  <c r="AC131" i="9" s="1" a="1"/>
  <c r="AC131" i="9" s="1"/>
  <c r="AA313" i="9"/>
  <c r="AC313" i="9" s="1" a="1"/>
  <c r="AC313" i="9" s="1"/>
  <c r="AA325" i="9"/>
  <c r="AC325" i="9" s="1" a="1"/>
  <c r="AC325" i="9" s="1"/>
  <c r="AA6" i="9"/>
  <c r="AC6" i="9" s="1" a="1"/>
  <c r="AC6" i="9" s="1"/>
  <c r="AA262" i="9"/>
  <c r="AC262" i="9" s="1" a="1"/>
  <c r="AC262" i="9" s="1"/>
  <c r="AA14" i="9"/>
  <c r="AC14" i="9" s="1" a="1"/>
  <c r="AC14" i="9" s="1"/>
  <c r="AA133" i="9"/>
  <c r="AC133" i="9" s="1" a="1"/>
  <c r="AC133" i="9" s="1"/>
  <c r="AA73" i="9"/>
  <c r="AC73" i="9" s="1" a="1"/>
  <c r="AC73" i="9" s="1"/>
  <c r="AA188" i="9"/>
  <c r="AC188" i="9" s="1" a="1"/>
  <c r="AC188" i="9" s="1"/>
  <c r="AA274" i="9"/>
  <c r="AC274" i="9" s="1" a="1"/>
  <c r="AC274" i="9" s="1"/>
  <c r="AA198" i="9"/>
  <c r="AC198" i="9" s="1" a="1"/>
  <c r="AC198" i="9" s="1"/>
  <c r="AA12" i="9"/>
  <c r="AC12" i="9" s="1" a="1"/>
  <c r="AC12" i="9" s="1"/>
  <c r="AA310" i="9"/>
  <c r="AC310" i="9" s="1" a="1"/>
  <c r="AC310" i="9" s="1"/>
  <c r="AA215" i="9"/>
  <c r="AC215" i="9" s="1" a="1"/>
  <c r="AC215" i="9" s="1"/>
  <c r="AA102" i="9"/>
  <c r="AC102" i="9" s="1" a="1"/>
  <c r="AC102" i="9" s="1"/>
  <c r="AA104" i="9"/>
  <c r="AC104" i="9" s="1" a="1"/>
  <c r="AC104" i="9" s="1"/>
  <c r="AA16" i="9"/>
  <c r="AC16" i="9" s="1" a="1"/>
  <c r="AC16" i="9" s="1"/>
  <c r="AA57" i="9"/>
  <c r="AC57" i="9" s="1" a="1"/>
  <c r="AC57" i="9" s="1"/>
  <c r="AA324" i="9"/>
  <c r="AC324" i="9" s="1" a="1"/>
  <c r="AC324" i="9" s="1"/>
  <c r="AA45" i="9"/>
  <c r="AC45" i="9" s="1" a="1"/>
  <c r="AC45" i="9" s="1"/>
  <c r="AA181" i="9"/>
  <c r="AC181" i="9" s="1" a="1"/>
  <c r="AC181" i="9" s="1"/>
  <c r="AA23" i="9"/>
  <c r="AC23" i="9" s="1" a="1"/>
  <c r="AC23" i="9" s="1"/>
  <c r="AA185" i="9"/>
  <c r="AC185" i="9" s="1" a="1"/>
  <c r="AC185" i="9" s="1"/>
  <c r="AA287" i="9"/>
  <c r="AC287" i="9" s="1" a="1"/>
  <c r="AC287" i="9" s="1"/>
  <c r="AA239" i="9"/>
  <c r="AC239" i="9" s="1" a="1"/>
  <c r="AC239" i="9" s="1"/>
  <c r="AA272" i="9"/>
  <c r="AC272" i="9" s="1" a="1"/>
  <c r="AC272" i="9" s="1"/>
  <c r="AA233" i="9"/>
  <c r="AC233" i="9" s="1" a="1"/>
  <c r="AC233" i="9" s="1"/>
  <c r="AA268" i="9"/>
  <c r="AA304" i="9"/>
  <c r="AC304" i="9" s="1" a="1"/>
  <c r="AC304" i="9" s="1"/>
  <c r="AA173" i="9"/>
  <c r="AC173" i="9" s="1" a="1"/>
  <c r="AC173" i="9" s="1"/>
  <c r="AA145" i="9"/>
  <c r="AC145" i="9" s="1" a="1"/>
  <c r="AC145" i="9" s="1"/>
  <c r="AA278" i="9"/>
  <c r="AC278" i="9" s="1" a="1"/>
  <c r="AC278" i="9" s="1"/>
  <c r="AA146" i="9"/>
  <c r="AC146" i="9" s="1" a="1"/>
  <c r="AC146" i="9" s="1"/>
  <c r="AA40" i="9"/>
  <c r="AC40" i="9" s="1" a="1"/>
  <c r="AC40" i="9" s="1"/>
  <c r="Z205" i="9"/>
  <c r="AA205" i="9" s="1"/>
  <c r="AC205" i="9" s="1" a="1"/>
  <c r="AC205" i="9" s="1"/>
  <c r="AA76" i="9"/>
  <c r="AC76" i="9" s="1" a="1"/>
  <c r="AC76" i="9" s="1"/>
  <c r="AA144" i="9"/>
  <c r="AC144" i="9" s="1" a="1"/>
  <c r="AC144" i="9" s="1"/>
  <c r="AA197" i="9"/>
  <c r="AC197" i="9" s="1" a="1"/>
  <c r="AC197" i="9" s="1"/>
  <c r="AA216" i="9"/>
  <c r="AC216" i="9" s="1" a="1"/>
  <c r="AC216" i="9" s="1"/>
  <c r="AA142" i="9"/>
  <c r="AC142" i="9" s="1" a="1"/>
  <c r="AC142" i="9" s="1"/>
  <c r="AA139" i="9"/>
  <c r="AC139" i="9" s="1" a="1"/>
  <c r="AC139" i="9" s="1"/>
  <c r="AA105" i="9"/>
  <c r="AC105" i="9" s="1" a="1"/>
  <c r="AC105" i="9" s="1"/>
  <c r="AA303" i="9"/>
  <c r="AC303" i="9" s="1" a="1"/>
  <c r="AC303" i="9" s="1"/>
  <c r="AA114" i="9"/>
  <c r="AC114" i="9" s="1" a="1"/>
  <c r="AC114" i="9" s="1"/>
  <c r="Z140" i="9"/>
  <c r="AA140" i="9" s="1"/>
  <c r="AC140" i="9" s="1" a="1"/>
  <c r="AC140" i="9" s="1"/>
  <c r="Z184" i="9"/>
  <c r="AA184" i="9" s="1"/>
  <c r="AC184" i="9" s="1" a="1"/>
  <c r="AC184" i="9" s="1"/>
  <c r="Z119" i="9"/>
  <c r="AA119" i="9" s="1"/>
  <c r="AC119" i="9" s="1" a="1"/>
  <c r="AC119" i="9" s="1"/>
  <c r="AA280" i="9"/>
  <c r="AC280" i="9" s="1" a="1"/>
  <c r="AC280" i="9" s="1"/>
  <c r="AA260" i="9"/>
  <c r="AC260" i="9" s="1" a="1"/>
  <c r="AC260" i="9" s="1"/>
  <c r="AA9" i="9"/>
  <c r="AC9" i="9" s="1" a="1"/>
  <c r="AC9" i="9" s="1"/>
  <c r="AA222" i="9"/>
  <c r="AC222" i="9" s="1" a="1"/>
  <c r="AC222" i="9" s="1"/>
  <c r="AA24" i="9"/>
  <c r="AC24" i="9" s="1" a="1"/>
  <c r="AC24" i="9" s="1"/>
  <c r="AA17" i="9"/>
  <c r="AC17" i="9" s="1" a="1"/>
  <c r="AC17" i="9" s="1"/>
  <c r="AA299" i="9"/>
  <c r="AC299" i="9" s="1" a="1"/>
  <c r="AC299" i="9" s="1"/>
  <c r="AA47" i="9"/>
  <c r="AC47" i="9" s="1" a="1"/>
  <c r="AC47" i="9" s="1"/>
  <c r="AA231" i="9"/>
  <c r="AC231" i="9" s="1" a="1"/>
  <c r="AC231" i="9" s="1"/>
  <c r="AA229" i="9"/>
  <c r="AC229" i="9" s="1" a="1"/>
  <c r="AC229" i="9" s="1"/>
  <c r="AA62" i="9"/>
  <c r="AC62" i="9" s="1" a="1"/>
  <c r="AC62" i="9" s="1"/>
  <c r="AA147" i="9"/>
  <c r="AC147" i="9" s="1" a="1"/>
  <c r="AC147" i="9" s="1"/>
  <c r="AA221" i="9"/>
  <c r="AC221" i="9" s="1" a="1"/>
  <c r="AC221" i="9" s="1"/>
  <c r="AA230" i="9"/>
  <c r="AC230" i="9" s="1" a="1"/>
  <c r="AC230" i="9" s="1"/>
  <c r="Z153" i="9"/>
  <c r="AA153" i="9" s="1"/>
  <c r="AC153" i="9" s="1" a="1"/>
  <c r="AC153" i="9" s="1"/>
  <c r="Z74" i="9"/>
  <c r="AA74" i="9" s="1"/>
  <c r="AC74" i="9" s="1" a="1"/>
  <c r="AC74" i="9" s="1"/>
  <c r="Z158" i="9"/>
  <c r="AA158" i="9" s="1"/>
  <c r="AC158" i="9" s="1" a="1"/>
  <c r="AC158" i="9" s="1"/>
  <c r="Z136" i="9"/>
  <c r="AA136" i="9" s="1"/>
  <c r="AC136" i="9" s="1" a="1"/>
  <c r="AC136" i="9" s="1"/>
  <c r="Z97" i="9"/>
  <c r="AA97" i="9" s="1"/>
  <c r="AC97" i="9" s="1" a="1"/>
  <c r="AC97" i="9" s="1"/>
  <c r="Z301" i="9"/>
  <c r="AA301" i="9" s="1"/>
  <c r="AC301" i="9" s="1" a="1"/>
  <c r="AC301" i="9" s="1"/>
  <c r="Z81" i="9"/>
  <c r="AA81" i="9" s="1"/>
  <c r="AC81" i="9" s="1" a="1"/>
  <c r="AC81" i="9" s="1"/>
  <c r="Z93" i="9"/>
  <c r="AA93" i="9" s="1"/>
  <c r="AC93" i="9" s="1" a="1"/>
  <c r="AC93" i="9" s="1"/>
  <c r="Z159" i="9"/>
  <c r="AA159" i="9" s="1"/>
  <c r="AC159" i="9" s="1" a="1"/>
  <c r="AC159" i="9" s="1"/>
  <c r="Z167" i="9"/>
  <c r="AA167" i="9" s="1"/>
  <c r="AC167" i="9" s="1" a="1"/>
  <c r="AC167" i="9" s="1"/>
  <c r="Z166" i="9"/>
  <c r="AA166" i="9" s="1"/>
  <c r="AC166" i="9" s="1" a="1"/>
  <c r="AC166" i="9" s="1"/>
  <c r="Z129" i="9"/>
  <c r="AA129" i="9" s="1"/>
  <c r="AC129" i="9" s="1" a="1"/>
  <c r="AC129" i="9" s="1"/>
  <c r="Z41" i="9"/>
  <c r="AA41" i="9" s="1"/>
  <c r="AC41" i="9" s="1" a="1"/>
  <c r="AC41" i="9" s="1"/>
  <c r="Z194" i="9"/>
  <c r="AA194" i="9" s="1"/>
  <c r="AC194" i="9" s="1" a="1"/>
  <c r="AC194" i="9" s="1"/>
  <c r="Z156" i="9"/>
  <c r="AA156" i="9" s="1"/>
  <c r="AC156" i="9" s="1" a="1"/>
  <c r="AC156" i="9" s="1"/>
  <c r="Z182" i="9"/>
  <c r="AA182" i="9" s="1"/>
  <c r="AC182" i="9" s="1" a="1"/>
  <c r="AC182" i="9" s="1"/>
  <c r="Z201" i="9"/>
  <c r="AA201" i="9" s="1"/>
  <c r="AC201" i="9" s="1" a="1"/>
  <c r="AC201" i="9" s="1"/>
  <c r="Z155" i="9"/>
  <c r="AA155" i="9" s="1"/>
  <c r="AC155" i="9" s="1" a="1"/>
  <c r="AC155" i="9" s="1"/>
  <c r="Z109" i="9"/>
  <c r="AA109" i="9" s="1"/>
  <c r="AC109" i="9" s="1" a="1"/>
  <c r="AC109" i="9" s="1"/>
  <c r="Z8" i="9"/>
  <c r="AA8" i="9" s="1"/>
  <c r="AC8" i="9" s="1" a="1"/>
  <c r="AC8" i="9" s="1"/>
  <c r="AA83" i="9"/>
  <c r="AC83" i="9" s="1" a="1"/>
  <c r="AC83" i="9" s="1"/>
  <c r="AA70" i="9"/>
  <c r="AC70" i="9" s="1" a="1"/>
  <c r="AC70" i="9" s="1"/>
  <c r="AA91" i="9"/>
  <c r="AC91" i="9" s="1" a="1"/>
  <c r="AC91" i="9" s="1"/>
  <c r="AA112" i="9"/>
  <c r="AC112" i="9" s="1" a="1"/>
  <c r="AC112" i="9" s="1"/>
  <c r="AA187" i="9"/>
  <c r="AC187" i="9" s="1" a="1"/>
  <c r="AC187" i="9" s="1"/>
  <c r="AA116" i="9"/>
  <c r="AC116" i="9" s="1" a="1"/>
  <c r="AC116" i="9" s="1"/>
  <c r="AA96" i="9"/>
  <c r="AC96" i="9" s="1" a="1"/>
  <c r="AC96" i="9" s="1"/>
  <c r="AA120" i="9"/>
  <c r="AC120" i="9" s="1" a="1"/>
  <c r="AC120" i="9" s="1"/>
  <c r="AA75" i="9"/>
  <c r="AC75" i="9" s="1" a="1"/>
  <c r="AC75" i="9" s="1"/>
  <c r="AA138" i="9"/>
  <c r="AC138" i="9" s="1" a="1"/>
  <c r="AC138" i="9" s="1"/>
  <c r="AA11" i="9"/>
  <c r="AC11" i="9" s="1" a="1"/>
  <c r="AC11" i="9" s="1"/>
  <c r="AA101" i="9"/>
  <c r="AC101" i="9" s="1" a="1"/>
  <c r="AC101" i="9" s="1"/>
  <c r="AA126" i="9"/>
  <c r="AC126" i="9" s="1" a="1"/>
  <c r="AC126" i="9" s="1"/>
  <c r="AA137" i="9"/>
  <c r="AC137" i="9" s="1" a="1"/>
  <c r="AC137" i="9" s="1"/>
  <c r="AA66" i="9"/>
  <c r="AC66" i="9" s="1" a="1"/>
  <c r="AC66" i="9" s="1"/>
  <c r="AA106" i="9"/>
  <c r="AC106" i="9" s="1" a="1"/>
  <c r="AC106" i="9" s="1"/>
  <c r="AA176" i="9"/>
  <c r="AC176" i="9" s="1" a="1"/>
  <c r="AC176" i="9" s="1"/>
  <c r="AA257" i="9"/>
  <c r="AC257" i="9" s="1" a="1"/>
  <c r="AC257" i="9" s="1"/>
  <c r="AA31" i="9"/>
  <c r="AC31" i="9" s="1" a="1"/>
  <c r="AC31" i="9" s="1"/>
  <c r="AA157" i="9"/>
  <c r="AC157" i="9" s="1" a="1"/>
  <c r="AC157" i="9" s="1"/>
  <c r="AA168" i="9"/>
  <c r="AC168" i="9" s="1" a="1"/>
  <c r="AC168" i="9" s="1"/>
  <c r="AA195" i="9"/>
  <c r="AC195" i="9" s="1" a="1"/>
  <c r="AC195" i="9" s="1"/>
  <c r="AA90" i="9"/>
  <c r="AC90" i="9" s="1" a="1"/>
  <c r="AC90" i="9" s="1"/>
  <c r="AA175" i="9"/>
  <c r="AC175" i="9" s="1" a="1"/>
  <c r="AC175" i="9" s="1"/>
  <c r="AA69" i="9"/>
  <c r="AC69" i="9" s="1" a="1"/>
  <c r="AC69" i="9" s="1"/>
  <c r="AA79" i="9"/>
  <c r="AC79" i="9" s="1" a="1"/>
  <c r="AC79" i="9" s="1"/>
  <c r="AA186" i="9"/>
  <c r="AC186" i="9" s="1" a="1"/>
  <c r="AC186" i="9" s="1"/>
  <c r="AA128" i="9"/>
  <c r="AC128" i="9" s="1" a="1"/>
  <c r="AC128" i="9" s="1"/>
  <c r="AA163" i="9"/>
  <c r="AC163" i="9" s="1" a="1"/>
  <c r="AC163" i="9" s="1"/>
  <c r="AA65" i="9"/>
  <c r="AC65" i="9" s="1" a="1"/>
  <c r="AC65" i="9" s="1"/>
  <c r="AA160" i="9"/>
  <c r="AC160" i="9" s="1" a="1"/>
  <c r="AC160" i="9" s="1"/>
  <c r="AA321" i="9"/>
  <c r="AC321" i="9" s="1" a="1"/>
  <c r="AC321" i="9" s="1"/>
  <c r="AA58" i="9"/>
  <c r="AC58" i="9" s="1" a="1"/>
  <c r="AC58" i="9" s="1"/>
  <c r="AA190" i="9"/>
  <c r="AC190" i="9" s="1" a="1"/>
  <c r="AC190" i="9" s="1"/>
  <c r="E34" i="15"/>
  <c r="E32" i="15"/>
  <c r="D38" i="15"/>
  <c r="D36" i="15"/>
  <c r="D34" i="15"/>
  <c r="D32" i="15"/>
  <c r="E38" i="15"/>
  <c r="E36" i="15"/>
  <c r="E41" i="15"/>
  <c r="D39" i="15"/>
  <c r="D30" i="15"/>
  <c r="E28" i="15"/>
  <c r="E35" i="15"/>
  <c r="D41" i="15"/>
  <c r="E39" i="15"/>
  <c r="E30" i="15"/>
  <c r="D28" i="15"/>
  <c r="D29" i="15"/>
  <c r="E29" i="15"/>
  <c r="E33" i="15"/>
  <c r="E31" i="15"/>
  <c r="E37" i="15"/>
  <c r="D35" i="15"/>
  <c r="D33" i="15"/>
  <c r="D31" i="15"/>
  <c r="D37" i="15"/>
  <c r="D40" i="15"/>
  <c r="E40" i="15"/>
  <c r="AC2" i="9" l="1" a="1"/>
  <c r="AC2" i="9" s="1"/>
  <c r="B2" i="16"/>
  <c r="D123" i="10"/>
  <c r="D120" i="10"/>
  <c r="B6" i="7"/>
  <c r="C332" i="9"/>
  <c r="AC311" i="9" a="1"/>
  <c r="AC311" i="9" s="1"/>
  <c r="AC268" i="9" a="1"/>
  <c r="AC268" i="9" s="1"/>
  <c r="C330" i="9"/>
  <c r="C2" i="16" l="1"/>
  <c r="C7" i="16"/>
  <c r="G6" i="16" s="1"/>
  <c r="B7" i="7"/>
  <c r="B8" i="7" l="1"/>
  <c r="B9" i="7" l="1"/>
  <c r="B10" i="7" l="1"/>
  <c r="B11" i="7" l="1"/>
  <c r="B12" i="7" l="1"/>
  <c r="B13" i="7" l="1"/>
  <c r="B14" i="7" l="1"/>
  <c r="B15" i="7" l="1"/>
  <c r="B16" i="7" l="1"/>
  <c r="B17" i="7" l="1"/>
  <c r="B18" i="7" l="1"/>
  <c r="B19" i="7" l="1"/>
  <c r="B20" i="7" l="1"/>
  <c r="B21" i="7" l="1"/>
  <c r="B22" i="7" l="1"/>
  <c r="B23" i="7" l="1"/>
  <c r="B24" i="7" l="1"/>
  <c r="B26" i="7" l="1"/>
  <c r="B25" i="7"/>
  <c r="A1" i="1"/>
  <c r="A1"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<sst xmlns="http://schemas.openxmlformats.org/spreadsheetml/2006/main" count="7646" uniqueCount="1398">
  <si>
    <t>KhanaChahiyo Data Analyst Project</t>
  </si>
  <si>
    <t>Food delivery order data  |  6 months  |  8 cities across Nepal</t>
  </si>
  <si>
    <t>You've just joined KhanaChahiyo, a Nepali food delivery startup, as their first Data Analyst.</t>
  </si>
  <si>
    <t>The Operations Head has handed you 6 months of raw order data and one instruction: "Tell me what's going on, why, what's coming, and what we should do about it."</t>
  </si>
  <si>
    <t>Assume today's date is 1 February 2026.</t>
  </si>
  <si>
    <t>How this maps to Module 1:</t>
  </si>
  <si>
    <t>5 Stages:  Collection (already done)  -&gt;  Cleanup (Part A)  -&gt;  Exploration (Part B)  -&gt;  Visualization (Part C, D)  -&gt;  Statistics (Part E, F)</t>
  </si>
  <si>
    <t>4 Types of Analytics:  Descriptive - what happened (Part C)  -&gt;  Diagnostic - why (Part D)  -&gt;  Predictive - what's next (Part E)  -&gt;  Prescriptive - what to do (Part F)</t>
  </si>
  <si>
    <t>Sheets already in this file (don't edit these 5): Orders_Raw, Menu_Price_List, Rider_Directory, Promo_Codes, City_Delivery_Fee.</t>
  </si>
  <si>
    <t>Sheets YOU will create as you go: Orders_Working, Dashboard, Forecast, WhatIf. The instructions tell you when.</t>
  </si>
  <si>
    <t>When you're done, save this file as YourName_KhanaChahiyo_Project.xlsx and send it back.</t>
  </si>
  <si>
    <t>WARM-UP THOUGHT  (Collection stage)</t>
  </si>
  <si>
    <t>W1</t>
  </si>
  <si>
    <t>This data was already collected for you by the time you got it. If you were designing KhanaChahiyo's checkout screen from scratch, name ONE more piece of data you'd capture that isn't in this sheet, and why it would help you later. 1-2 lines.</t>
  </si>
  <si>
    <t>PART 0: QUICK LOOK  (before you touch anything)</t>
  </si>
  <si>
    <t>P0.1</t>
  </si>
  <si>
    <t>What's the earliest and the latest Order Date in Orders_Raw?</t>
  </si>
  <si>
    <t>P0.2</t>
  </si>
  <si>
    <t>What's the highest and the lowest Delivery Time Taken recorded?</t>
  </si>
  <si>
    <t>P0.3</t>
  </si>
  <si>
    <t>How many rows have a Customer Rating filled in? How many rows are there in total? What does the gap between those two numbers tell you?</t>
  </si>
  <si>
    <t>P0.4</t>
  </si>
  <si>
    <t>What's the average Customer Rating, ignoring the blanks?</t>
  </si>
  <si>
    <t>Keep these four answers somewhere safe on this sheet — you'll revisit them at the end of Part A.</t>
  </si>
  <si>
    <t>PART A: CLEAN-UP</t>
  </si>
  <si>
    <t>A0</t>
  </si>
  <si>
    <t>A1</t>
  </si>
  <si>
    <t>Customer Name has random capitals and extra spacing. Fix it so every name looks like a proper name, e.g. 'Suresh Thapa'.</t>
  </si>
  <si>
    <t>A2</t>
  </si>
  <si>
    <t>A3</t>
  </si>
  <si>
    <t>Look closely at City. Kathmandu is not always spelled the same way. Find out how many different versions exist in this column — one function you learned lists every distinct value in a range. Then make every city spelled one consistent way, not just Kathmandu.</t>
  </si>
  <si>
    <t>A4</t>
  </si>
  <si>
    <t>A5</t>
  </si>
  <si>
    <t>A few rows have no Order Status at all. Add a new column and mark just these rows 'Needs Review'. Leave every other row's status exactly as it is.</t>
  </si>
  <si>
    <t>A6</t>
  </si>
  <si>
    <t>A7</t>
  </si>
  <si>
    <t>Add a column called Customer Type. Work out the number of days between Customer Signup Date and this Order Date. If that gap is 2 days or less, label the row 'New'. Otherwise, 'Returning'.</t>
  </si>
  <si>
    <t>A8</t>
  </si>
  <si>
    <t>A9</t>
  </si>
  <si>
    <t>Marketing wants one column that reads like 'ORD-1123 | Kathmandu | Chicken Momo' — Order ID, City and Item Name joined into a single line. Build it.</t>
  </si>
  <si>
    <t>A10</t>
  </si>
  <si>
    <t>Marketing also asked (don't ask why) for City in ALL CAPS in one column, and Payment Method in lowercase in another.</t>
  </si>
  <si>
    <t>A11</t>
  </si>
  <si>
    <t>Go back to your four Part 0 answers. Recalculate all four, now on your cleaned Orders_Working data. Did any of them change? Should the average rating have changed? 1-2 lines.</t>
  </si>
  <si>
    <t>PART B: EXPLORATION  (lookups &amp; formulas)</t>
  </si>
  <si>
    <t>B1</t>
  </si>
  <si>
    <t>B2</t>
  </si>
  <si>
    <t>Using Unit Price x Quantity, calculate an Order Amount column.</t>
  </si>
  <si>
    <t>B3</t>
  </si>
  <si>
    <t>Bring in the correct Delivery Fee for every order from City_Delivery_Fee, matched on City.</t>
  </si>
  <si>
    <t>B4</t>
  </si>
  <si>
    <t>B5</t>
  </si>
  <si>
    <t>Calculate Final Amount = Order Amount + Delivery Fee - Discount Amount.</t>
  </si>
  <si>
    <t>B6</t>
  </si>
  <si>
    <t>B7</t>
  </si>
  <si>
    <t>Sort every order into a Value Tier — 'Small' under Rs 500, 'Medium' Rs 500-1000, 'Large' above Rs 1000 — using one formula that checks multiple conditions at once.</t>
  </si>
  <si>
    <t>B8</t>
  </si>
  <si>
    <t>Without building a Pivot Table: find the total Final Amount of Cancelled orders in Pokhara only. (Two conditions, one formula.)</t>
  </si>
  <si>
    <t>B9</t>
  </si>
  <si>
    <t>Without building a Pivot Table: count how many Delivered orders each Rider has completed.</t>
  </si>
  <si>
    <t>B10</t>
  </si>
  <si>
    <t>B11</t>
  </si>
  <si>
    <t>Get a clean, sorted, no-repeats list of every Restaurant Partner that has at least one Cancelled order against it — nest three array functions together to do it in one formula.</t>
  </si>
  <si>
    <t>B12</t>
  </si>
  <si>
    <t>BONUS: A few orders used a promo code after it had already expired (check Valid To in Promo_Codes). Find these rows. How many are there, and what should happen to the discount they were given?</t>
  </si>
  <si>
    <t>PART C: DESCRIPTIVE ANALYTICS  -  what happened?</t>
  </si>
  <si>
    <t>C1</t>
  </si>
  <si>
    <t>On a new sheet called Dashboard, build a Pivot Table of total Final Amount by City and by Month. Add a Slicer for Payment Method.</t>
  </si>
  <si>
    <t>C2</t>
  </si>
  <si>
    <t>From your pivot table: which city brought in the most revenue overall? Which single month was the strongest, across all cities combined?</t>
  </si>
  <si>
    <t>C3</t>
  </si>
  <si>
    <t>Build 3 KPI cards on Dashboard: Total Revenue vs a target of Rs 1,50,000; Average Rating vs a target of 4.3; Cancellation Rate vs a target of under 8%. Each card should show at a glance whether the target was hit.</t>
  </si>
  <si>
    <t>C4</t>
  </si>
  <si>
    <t>Build a Pivot Chart of Total Orders by Payment Method. Guess, in one line, why one payment method trails the rest — trust, access, habit? You don't have enough data here to be certain, and that's fine to say.</t>
  </si>
  <si>
    <t>PART D: DIAGNOSTIC ANALYTICS  -  why did it happen?</t>
  </si>
  <si>
    <t>D1</t>
  </si>
  <si>
    <t>One city's average rating is noticeably lower than the rest. Which one? Check whether it also has a longer average Delivery Time Taken, or fewer active riders in Rider_Directory. Is your data enough to explain the 'why', or would you need more? 2-3 lines.</t>
  </si>
  <si>
    <t>D2</t>
  </si>
  <si>
    <t>Build a Waterfall chart that starts at total Order Amount, steps down through Discounts Given and Cancelled/Returned Order Value, and ends at Final Revenue Collected. Where is KhanaChahiyo losing the most money?</t>
  </si>
  <si>
    <t>D3</t>
  </si>
  <si>
    <t>Build a Combo Chart — Total Orders as columns, Average Delivery Time as a line, both by City. Do busier cities deliver faster or slower? What might explain that?</t>
  </si>
  <si>
    <t>D4</t>
  </si>
  <si>
    <t>Orders clearly spike for a stretch of the data. Find the exact dates. What was happening in Nepal around then? (You won't find this answer inside the spreadsheet.)</t>
  </si>
  <si>
    <t>PART E: PREDICTIVE ANALYTICS  -  what's coming next?</t>
  </si>
  <si>
    <t>E1</t>
  </si>
  <si>
    <t>On a new sheet called Forecast, summarize your data into Total Orders per week, across the full 6 months.</t>
  </si>
  <si>
    <t>E2</t>
  </si>
  <si>
    <t>Use Excel's Forecast Sheet tool to project the next 3 months of weekly order volume. Note the confidence interval it shows you.</t>
  </si>
  <si>
    <t>E3</t>
  </si>
  <si>
    <t>E4</t>
  </si>
  <si>
    <t>Compare E2 and E3. They won't match exactly. Which one handles the festival spike better, and why? Which one would you actually hand to your manager? 2-3 lines.</t>
  </si>
  <si>
    <t>PART F: PRESCRIPTIVE ANALYTICS  -  what should KhanaChahiyo do?</t>
  </si>
  <si>
    <t>F1</t>
  </si>
  <si>
    <t>On a new sheet called WhatIf: management wants Rs 35,000 revenue next month. If the Average Order Value stays where it is now, use Goal Seek to find how many total orders that needs.</t>
  </si>
  <si>
    <t>F2</t>
  </si>
  <si>
    <t>Build a one-variable Data Table showing projected monthly revenue at 5 different delivery-fee levels: Rs 50, 65, 80, 100, 120. Would raising fees alone get KhanaChahiyo to target? What might customers do in response?</t>
  </si>
  <si>
    <t>F3</t>
  </si>
  <si>
    <t>Build 3 scenarios with Scenario Manager — Weak Month, Normal Month, Strong Month — by changing Total Orders and Average Order Value together. Which scenario lines up closest with your Part E forecast?</t>
  </si>
  <si>
    <t>PART G: BRING IT TOGETHER</t>
  </si>
  <si>
    <t>G1</t>
  </si>
  <si>
    <t>On Dashboard, add a dropdown to select one City. Your KPI cards or a summary table should update automatically when you change it.</t>
  </si>
  <si>
    <t>G2</t>
  </si>
  <si>
    <t>Write 5-6 lines to KhanaChahiyo's management: what's happening, why, what's likely next, and what you recommend. Use real numbers from your own work.</t>
  </si>
  <si>
    <t>OrderID</t>
  </si>
  <si>
    <t>OrderDate</t>
  </si>
  <si>
    <t>CustomerName</t>
  </si>
  <si>
    <t>CustomerPhone</t>
  </si>
  <si>
    <t>CustomerSignupDate</t>
  </si>
  <si>
    <t>City</t>
  </si>
  <si>
    <t>RestaurantPartner</t>
  </si>
  <si>
    <t>ItemCategory</t>
  </si>
  <si>
    <t>ItemName</t>
  </si>
  <si>
    <t>Quantity</t>
  </si>
  <si>
    <t>RiderID</t>
  </si>
  <si>
    <t>PaymentMethod</t>
  </si>
  <si>
    <t>PromoCode</t>
  </si>
  <si>
    <t>OrderStatus</t>
  </si>
  <si>
    <t>CustomerRating</t>
  </si>
  <si>
    <t>DeliveryTimeTaken_Min</t>
  </si>
  <si>
    <t>FeedbackText</t>
  </si>
  <si>
    <t>ORD-1307</t>
  </si>
  <si>
    <t>Bandana Khadka</t>
  </si>
  <si>
    <t>+977-9874911862</t>
  </si>
  <si>
    <t>Biratnagar</t>
  </si>
  <si>
    <t>Newa Kitchen</t>
  </si>
  <si>
    <t>Newari Khana</t>
  </si>
  <si>
    <t>Bara</t>
  </si>
  <si>
    <t>R-118</t>
  </si>
  <si>
    <t>eSewa</t>
  </si>
  <si>
    <t>FIRSTORDER</t>
  </si>
  <si>
    <t>Delivered</t>
  </si>
  <si>
    <t>good food, will order again</t>
  </si>
  <si>
    <t>ORD-1277</t>
  </si>
  <si>
    <t>nabin magar</t>
  </si>
  <si>
    <t>9884529841</t>
  </si>
  <si>
    <t>Kathmandu</t>
  </si>
  <si>
    <t>Thakali Ghar</t>
  </si>
  <si>
    <t>Thakali Set</t>
  </si>
  <si>
    <t>Chicken Thakali Set</t>
  </si>
  <si>
    <t>R-106</t>
  </si>
  <si>
    <t>Cash on Delivery</t>
  </si>
  <si>
    <t>quality was great as always</t>
  </si>
  <si>
    <t>ORD-1308</t>
  </si>
  <si>
    <t>Gopal Shrestha</t>
  </si>
  <si>
    <t>+977-9848525388</t>
  </si>
  <si>
    <t>Chitwan</t>
  </si>
  <si>
    <t>Sweet Home Bakery</t>
  </si>
  <si>
    <t>Bakery</t>
  </si>
  <si>
    <t>Barfi (5 pcs)</t>
  </si>
  <si>
    <t>R-121</t>
  </si>
  <si>
    <t>delivery was very late</t>
  </si>
  <si>
    <t>ORD-1314</t>
  </si>
  <si>
    <t xml:space="preserve">  BISHAL BASNET  </t>
  </si>
  <si>
    <t>9878245040</t>
  </si>
  <si>
    <t xml:space="preserve">BUTWAL </t>
  </si>
  <si>
    <t>Wok Point</t>
  </si>
  <si>
    <t>Chinese</t>
  </si>
  <si>
    <t>Chicken Manchurian</t>
  </si>
  <si>
    <t>R-119</t>
  </si>
  <si>
    <t>Khalti</t>
  </si>
  <si>
    <t>ORD-1025</t>
  </si>
  <si>
    <t>Rina Adhikari</t>
  </si>
  <si>
    <t>9867272042</t>
  </si>
  <si>
    <t>Cafe Cup</t>
  </si>
  <si>
    <t>Beverages</t>
  </si>
  <si>
    <t>MANGO JUICE</t>
  </si>
  <si>
    <t>R-117</t>
  </si>
  <si>
    <t>ORD-1167</t>
  </si>
  <si>
    <t>Sandhya Shrestha</t>
  </si>
  <si>
    <t>9853549306</t>
  </si>
  <si>
    <t>Butwal</t>
  </si>
  <si>
    <t>Himalayan Bakers</t>
  </si>
  <si>
    <t>Chocolate Pastry</t>
  </si>
  <si>
    <t>R-120</t>
  </si>
  <si>
    <t>ORD-1143</t>
  </si>
  <si>
    <t>Suresh Dahal</t>
  </si>
  <si>
    <t>9828159013</t>
  </si>
  <si>
    <t>Bhaktapur</t>
  </si>
  <si>
    <t>Quick Snacks Corner</t>
  </si>
  <si>
    <t>Fast Food</t>
  </si>
  <si>
    <t>Veg Fried Rice</t>
  </si>
  <si>
    <t>R-111</t>
  </si>
  <si>
    <t>TIHAR15</t>
  </si>
  <si>
    <t>ORD-1077</t>
  </si>
  <si>
    <t>Rajan Poudel</t>
  </si>
  <si>
    <t>+977-9808246281</t>
  </si>
  <si>
    <t>Sel Roti (4 pcs)</t>
  </si>
  <si>
    <t>R-102</t>
  </si>
  <si>
    <t>DASHAIN10</t>
  </si>
  <si>
    <t>ORD-1116</t>
  </si>
  <si>
    <t>RAMESH LAMA</t>
  </si>
  <si>
    <t>9853705656</t>
  </si>
  <si>
    <t>Himalayan Thakali Kitchen</t>
  </si>
  <si>
    <t xml:space="preserve">Chicken Thakali Set  </t>
  </si>
  <si>
    <t>rider could not find my house</t>
  </si>
  <si>
    <t>ORD-1053</t>
  </si>
  <si>
    <t>ashok bhattarai</t>
  </si>
  <si>
    <t>9887355706</t>
  </si>
  <si>
    <t>Lalitpur</t>
  </si>
  <si>
    <t>Fast Bites</t>
  </si>
  <si>
    <t>Chicken Pizza</t>
  </si>
  <si>
    <t>R-108</t>
  </si>
  <si>
    <t>best momo in town</t>
  </si>
  <si>
    <t>ORD-1144</t>
  </si>
  <si>
    <t>NIRMALA ACHARYA</t>
  </si>
  <si>
    <t>9848113114</t>
  </si>
  <si>
    <t>Pokhara</t>
  </si>
  <si>
    <t xml:space="preserve">Cheese Cake Slice  </t>
  </si>
  <si>
    <t>R-115</t>
  </si>
  <si>
    <t>ORD-1046</t>
  </si>
  <si>
    <t>Bishal Bista</t>
  </si>
  <si>
    <t>9899075116</t>
  </si>
  <si>
    <t xml:space="preserve">LALITPUR </t>
  </si>
  <si>
    <t>R-107</t>
  </si>
  <si>
    <t>ORD-1311</t>
  </si>
  <si>
    <t>Nirmala Acharya</t>
  </si>
  <si>
    <t>Yeti Newari Bhoj</t>
  </si>
  <si>
    <t>Chatamari</t>
  </si>
  <si>
    <t>R-101</t>
  </si>
  <si>
    <t>ORD-1186</t>
  </si>
  <si>
    <t>Bandana Basnet</t>
  </si>
  <si>
    <t>9823159425</t>
  </si>
  <si>
    <t xml:space="preserve">  Cheese Cake Slice</t>
  </si>
  <si>
    <t>R-103</t>
  </si>
  <si>
    <t>quantity was less than expected</t>
  </si>
  <si>
    <t>ORD-1274</t>
  </si>
  <si>
    <t>MANISHA RAI</t>
  </si>
  <si>
    <t>9816957220</t>
  </si>
  <si>
    <t xml:space="preserve">Kathmandu </t>
  </si>
  <si>
    <t>ORD-1258</t>
  </si>
  <si>
    <t>SITA LAMA</t>
  </si>
  <si>
    <t>9840206797</t>
  </si>
  <si>
    <t>Kathmandu Momo House</t>
  </si>
  <si>
    <t>Momo</t>
  </si>
  <si>
    <t>Buff Momo (Steamed)</t>
  </si>
  <si>
    <t>Returned</t>
  </si>
  <si>
    <t>ORD-1010</t>
  </si>
  <si>
    <t>Suresh Bista</t>
  </si>
  <si>
    <t>+977-9837504310</t>
  </si>
  <si>
    <t xml:space="preserve">Yomari  </t>
  </si>
  <si>
    <t>MOMO20</t>
  </si>
  <si>
    <t>food was cold when it arrived</t>
  </si>
  <si>
    <t>ORD-1250</t>
  </si>
  <si>
    <t>Deepak Basnet</t>
  </si>
  <si>
    <t>9844634786</t>
  </si>
  <si>
    <t>Momo Hut</t>
  </si>
  <si>
    <t>Chicken Momo (Fried)</t>
  </si>
  <si>
    <t>IME Pay</t>
  </si>
  <si>
    <t>ORD-1007</t>
  </si>
  <si>
    <t>rohit limbu</t>
  </si>
  <si>
    <t>9850201462</t>
  </si>
  <si>
    <t>R-109</t>
  </si>
  <si>
    <t>ORD-1259</t>
  </si>
  <si>
    <t>Ramesh Tamang</t>
  </si>
  <si>
    <t>9868656355</t>
  </si>
  <si>
    <t>WEEKEND10</t>
  </si>
  <si>
    <t>ORD-1318</t>
  </si>
  <si>
    <t>Anita Limbu</t>
  </si>
  <si>
    <t>+977-9824180578</t>
  </si>
  <si>
    <t>Dharan</t>
  </si>
  <si>
    <t>R-124</t>
  </si>
  <si>
    <t>ORD-1103</t>
  </si>
  <si>
    <t>Sita  Bhattarai</t>
  </si>
  <si>
    <t>9851313735</t>
  </si>
  <si>
    <t>Cheese Cake Slice</t>
  </si>
  <si>
    <t>R-104</t>
  </si>
  <si>
    <t>ORD-1180</t>
  </si>
  <si>
    <t>Pradeep  Gurung</t>
  </si>
  <si>
    <t>9843520561</t>
  </si>
  <si>
    <t>Veg Thakali Set</t>
  </si>
  <si>
    <t>ORD-1005</t>
  </si>
  <si>
    <t xml:space="preserve">  SURESH SHRESTHA  </t>
  </si>
  <si>
    <t>9868773132</t>
  </si>
  <si>
    <t>ORD-1179</t>
  </si>
  <si>
    <t>Nabin Bhattarai</t>
  </si>
  <si>
    <t>9805877065</t>
  </si>
  <si>
    <t>Chicken Momo (Steamed)</t>
  </si>
  <si>
    <t>R-105</t>
  </si>
  <si>
    <t>ConnectIPS</t>
  </si>
  <si>
    <t>Cancelled</t>
  </si>
  <si>
    <t>average, nothing special</t>
  </si>
  <si>
    <t>ORD-1071</t>
  </si>
  <si>
    <t>Ramesh Poudel</t>
  </si>
  <si>
    <t>9807924402</t>
  </si>
  <si>
    <t>okay experience</t>
  </si>
  <si>
    <t>ORD-1060</t>
  </si>
  <si>
    <t>Sujan  Dahal</t>
  </si>
  <si>
    <t>9809378657</t>
  </si>
  <si>
    <t>Golden Dragon Kitchen</t>
  </si>
  <si>
    <t>chicken manchurian</t>
  </si>
  <si>
    <t>R-116</t>
  </si>
  <si>
    <t>Fast delivery today</t>
  </si>
  <si>
    <t>ORD-1173</t>
  </si>
  <si>
    <t>rajan poudel</t>
  </si>
  <si>
    <t>lalitpur</t>
  </si>
  <si>
    <t>Sukuti Sandheko</t>
  </si>
  <si>
    <t>ORD-1092</t>
  </si>
  <si>
    <t>Chicken Chowmein</t>
  </si>
  <si>
    <t>R-114</t>
  </si>
  <si>
    <t>ORD-1056</t>
  </si>
  <si>
    <t xml:space="preserve">  RAMESH POUDEL  </t>
  </si>
  <si>
    <t>Veg Momo (Steamed)</t>
  </si>
  <si>
    <t>packaging was nice</t>
  </si>
  <si>
    <t>ORD-1142</t>
  </si>
  <si>
    <t>SUNITA TAMANG</t>
  </si>
  <si>
    <t>+977-9894130787</t>
  </si>
  <si>
    <t>chicken fried rice</t>
  </si>
  <si>
    <t>R-123</t>
  </si>
  <si>
    <t>ORD-1321</t>
  </si>
  <si>
    <t>Rohit  Limbu</t>
  </si>
  <si>
    <t>ORD-1135</t>
  </si>
  <si>
    <t xml:space="preserve">  RINA LAMA  </t>
  </si>
  <si>
    <t>9883645074</t>
  </si>
  <si>
    <t xml:space="preserve">  Chatamari</t>
  </si>
  <si>
    <t>ORD-1252</t>
  </si>
  <si>
    <t>sita khadka</t>
  </si>
  <si>
    <t>+977-9813613412</t>
  </si>
  <si>
    <t>Chicken Fried Rice</t>
  </si>
  <si>
    <t>ORD-1107</t>
  </si>
  <si>
    <t>Anita Magar</t>
  </si>
  <si>
    <t>+977-9860181590</t>
  </si>
  <si>
    <t>ORD-1058</t>
  </si>
  <si>
    <t>Bishal Basnet</t>
  </si>
  <si>
    <t xml:space="preserve">  Chicken Thakali Set</t>
  </si>
  <si>
    <t>ORD-1017</t>
  </si>
  <si>
    <t>Kabita Adhikari</t>
  </si>
  <si>
    <t>9838831701</t>
  </si>
  <si>
    <t>Milk Tea</t>
  </si>
  <si>
    <t>ORD-1317</t>
  </si>
  <si>
    <t>sarita thapa</t>
  </si>
  <si>
    <t>9853663062</t>
  </si>
  <si>
    <t>Chiya Adda</t>
  </si>
  <si>
    <t xml:space="preserve">  Black Coffee</t>
  </si>
  <si>
    <t>ORD-1169</t>
  </si>
  <si>
    <t>nisha chhetri</t>
  </si>
  <si>
    <t>9871834170</t>
  </si>
  <si>
    <t>WELCOME50</t>
  </si>
  <si>
    <t>ORD-1309</t>
  </si>
  <si>
    <t>Nisha Chhetri</t>
  </si>
  <si>
    <t>Bhattarai Momo Center</t>
  </si>
  <si>
    <t>ORD-1073</t>
  </si>
  <si>
    <t>gopal shakya</t>
  </si>
  <si>
    <t>9821993518</t>
  </si>
  <si>
    <t>ORD-1226</t>
  </si>
  <si>
    <t>Sarita Thapa</t>
  </si>
  <si>
    <t>Veg Momo (Fried)</t>
  </si>
  <si>
    <t>ORD-1225</t>
  </si>
  <si>
    <t xml:space="preserve">  ANISH TAMANG  </t>
  </si>
  <si>
    <t>9821387837</t>
  </si>
  <si>
    <t>pokhara</t>
  </si>
  <si>
    <t>Sekuwa Point</t>
  </si>
  <si>
    <t>Sekuwa</t>
  </si>
  <si>
    <t>Buff Sekuwa</t>
  </si>
  <si>
    <t>R-113</t>
  </si>
  <si>
    <t>ORD-1054</t>
  </si>
  <si>
    <t>Rajan Basnet</t>
  </si>
  <si>
    <t>9897465075</t>
  </si>
  <si>
    <t>LEMON SODA</t>
  </si>
  <si>
    <t>R-112</t>
  </si>
  <si>
    <t>fine I guess</t>
  </si>
  <si>
    <t>ORD-1166</t>
  </si>
  <si>
    <t>Rajan Shrestha</t>
  </si>
  <si>
    <t>+977-9868493407</t>
  </si>
  <si>
    <t>Jhol Momo</t>
  </si>
  <si>
    <t>Tasty and fresh, loved it</t>
  </si>
  <si>
    <t>ORD-1097</t>
  </si>
  <si>
    <t>Bishal  Bista</t>
  </si>
  <si>
    <t>biratnagar</t>
  </si>
  <si>
    <t>Veg Burger</t>
  </si>
  <si>
    <t>ORD-1201</t>
  </si>
  <si>
    <t>suresh magar</t>
  </si>
  <si>
    <t>9822791805</t>
  </si>
  <si>
    <t>Black Coffee</t>
  </si>
  <si>
    <t>ORD-1128</t>
  </si>
  <si>
    <t>Ramesh  Lama</t>
  </si>
  <si>
    <t xml:space="preserve">  Buff Sekuwa</t>
  </si>
  <si>
    <t>ORD-1224</t>
  </si>
  <si>
    <t>Sabina Chhetri</t>
  </si>
  <si>
    <t>9862833125</t>
  </si>
  <si>
    <t>ORD-1271</t>
  </si>
  <si>
    <t xml:space="preserve">  BIKASH MAHARJAN  </t>
  </si>
  <si>
    <t>9868288909</t>
  </si>
  <si>
    <t>Yomari</t>
  </si>
  <si>
    <t>ORD-1096</t>
  </si>
  <si>
    <t>Nirmala Dahal</t>
  </si>
  <si>
    <t>9814865465</t>
  </si>
  <si>
    <t>ORD-1131</t>
  </si>
  <si>
    <t>SARITA SHAKYA</t>
  </si>
  <si>
    <t>9859952890</t>
  </si>
  <si>
    <t>Veg Chopsuey</t>
  </si>
  <si>
    <t>ORD-1280</t>
  </si>
  <si>
    <t>Rita  Gurung</t>
  </si>
  <si>
    <t>9874137484</t>
  </si>
  <si>
    <t>Lemon Soda</t>
  </si>
  <si>
    <t>ORD-1024</t>
  </si>
  <si>
    <t>gopal karki</t>
  </si>
  <si>
    <t>9869919220</t>
  </si>
  <si>
    <t>KATHMANDU</t>
  </si>
  <si>
    <t>chicken burger</t>
  </si>
  <si>
    <t>ORD-1300</t>
  </si>
  <si>
    <t>bishal bista</t>
  </si>
  <si>
    <t>KTM</t>
  </si>
  <si>
    <t>ORD-1273</t>
  </si>
  <si>
    <t>ORD-1118</t>
  </si>
  <si>
    <t>Bikash Limbu</t>
  </si>
  <si>
    <t>9882651233</t>
  </si>
  <si>
    <t>chicken pizza</t>
  </si>
  <si>
    <t>ORD-1120</t>
  </si>
  <si>
    <t>Bandana  Khadka</t>
  </si>
  <si>
    <t>9874911862</t>
  </si>
  <si>
    <t>ORD-1227</t>
  </si>
  <si>
    <t>Milan  Poudel</t>
  </si>
  <si>
    <t>9820109832</t>
  </si>
  <si>
    <t>kathmandu</t>
  </si>
  <si>
    <t>BARA</t>
  </si>
  <si>
    <t>ORD-1098</t>
  </si>
  <si>
    <t>Sagar Tamang</t>
  </si>
  <si>
    <t>9820297299</t>
  </si>
  <si>
    <t>ORD-1020</t>
  </si>
  <si>
    <t>kiran maharjan</t>
  </si>
  <si>
    <t>9817180023</t>
  </si>
  <si>
    <t>Chicken Burger</t>
  </si>
  <si>
    <t>ORD-1136</t>
  </si>
  <si>
    <t>milan thapa</t>
  </si>
  <si>
    <t>9809773797</t>
  </si>
  <si>
    <t xml:space="preserve">POKHARA </t>
  </si>
  <si>
    <t>ORD-1264</t>
  </si>
  <si>
    <t>Sushmita Acharya</t>
  </si>
  <si>
    <t>9883478878</t>
  </si>
  <si>
    <t>ORD-1062</t>
  </si>
  <si>
    <t>Nisha Shakya</t>
  </si>
  <si>
    <t>9866661760</t>
  </si>
  <si>
    <t>ORD-1158</t>
  </si>
  <si>
    <t>Puja Acharya</t>
  </si>
  <si>
    <t>9879711471</t>
  </si>
  <si>
    <t xml:space="preserve">BIRATNAGAR </t>
  </si>
  <si>
    <t>ORD-1130</t>
  </si>
  <si>
    <t>sarita maharjan</t>
  </si>
  <si>
    <t>9828288072</t>
  </si>
  <si>
    <t>MUTTON THAKALI SET</t>
  </si>
  <si>
    <t>ORD-1045</t>
  </si>
  <si>
    <t>9814913167</t>
  </si>
  <si>
    <t xml:space="preserve">Chocolate Pastry  </t>
  </si>
  <si>
    <t>ORD-1260</t>
  </si>
  <si>
    <t>Kiran Lama</t>
  </si>
  <si>
    <t>+977-9800267511</t>
  </si>
  <si>
    <t>ORD-1048</t>
  </si>
  <si>
    <t>pradeep maharjan</t>
  </si>
  <si>
    <t>9848372616</t>
  </si>
  <si>
    <t xml:space="preserve">  Veg Momo (Fried)</t>
  </si>
  <si>
    <t>R-122</t>
  </si>
  <si>
    <t>ORD-1139</t>
  </si>
  <si>
    <t xml:space="preserve">  BISHAL BISTA  </t>
  </si>
  <si>
    <t>Margherita Pizza</t>
  </si>
  <si>
    <t>ORD-1229</t>
  </si>
  <si>
    <t xml:space="preserve">  BIKASH SHAKYA  </t>
  </si>
  <si>
    <t>9805169784</t>
  </si>
  <si>
    <t>ORD-1061</t>
  </si>
  <si>
    <t>Suresh Magar</t>
  </si>
  <si>
    <t xml:space="preserve">Chicken Fried Rice  </t>
  </si>
  <si>
    <t>ORD-1094</t>
  </si>
  <si>
    <t>Ramesh  Tamang</t>
  </si>
  <si>
    <t>ORD-1038</t>
  </si>
  <si>
    <t>Rohit Basnet</t>
  </si>
  <si>
    <t>9870822765</t>
  </si>
  <si>
    <t>French Fries</t>
  </si>
  <si>
    <t>ORD-1244</t>
  </si>
  <si>
    <t>+977-9848372616</t>
  </si>
  <si>
    <t>veg momo (fried)</t>
  </si>
  <si>
    <t>ORD-1041</t>
  </si>
  <si>
    <t>+977-9823159425</t>
  </si>
  <si>
    <t>ORD-1083</t>
  </si>
  <si>
    <t>ANITA ADHIKARI</t>
  </si>
  <si>
    <t>9886205798</t>
  </si>
  <si>
    <t>R-125</t>
  </si>
  <si>
    <t>ORD-1156</t>
  </si>
  <si>
    <t>ORD-1268</t>
  </si>
  <si>
    <t xml:space="preserve">  SUSHMITA POUDEL  </t>
  </si>
  <si>
    <t>+977-9855032624</t>
  </si>
  <si>
    <t>veg fried rice</t>
  </si>
  <si>
    <t>ORD-1021</t>
  </si>
  <si>
    <t>Rohit Limbu</t>
  </si>
  <si>
    <t>ORD-1114</t>
  </si>
  <si>
    <t xml:space="preserve">  RAMESH CHHETRI  </t>
  </si>
  <si>
    <t>9876174093</t>
  </si>
  <si>
    <t>CHOILA (BUFF)</t>
  </si>
  <si>
    <t>ORD-1276</t>
  </si>
  <si>
    <t>Sujan Dahal</t>
  </si>
  <si>
    <t>ORD-1151</t>
  </si>
  <si>
    <t xml:space="preserve">  SURESH THAPA  </t>
  </si>
  <si>
    <t>9888387371</t>
  </si>
  <si>
    <t>ORD-1176</t>
  </si>
  <si>
    <t xml:space="preserve">  MANISHA RAI  </t>
  </si>
  <si>
    <t>ORD-1265</t>
  </si>
  <si>
    <t>ashok shrestha</t>
  </si>
  <si>
    <t>9837215901</t>
  </si>
  <si>
    <t>ORD-1243</t>
  </si>
  <si>
    <t>Sandhya  Shrestha</t>
  </si>
  <si>
    <t>chitwan</t>
  </si>
  <si>
    <t>Chilli Momo</t>
  </si>
  <si>
    <t>ORD-1235</t>
  </si>
  <si>
    <t>+977-9849454437</t>
  </si>
  <si>
    <t xml:space="preserve">Laddu (5 pcs)  </t>
  </si>
  <si>
    <t>ORD-1284</t>
  </si>
  <si>
    <t xml:space="preserve">  SURESH TAMANG  </t>
  </si>
  <si>
    <t>9843325365</t>
  </si>
  <si>
    <t>ORD-1281</t>
  </si>
  <si>
    <t>SUJAN ACHARYA</t>
  </si>
  <si>
    <t>+977-9855459045</t>
  </si>
  <si>
    <t>ORD-1217</t>
  </si>
  <si>
    <t>ORD-1031</t>
  </si>
  <si>
    <t>Manisha Rai</t>
  </si>
  <si>
    <t>FRENCH FRIES</t>
  </si>
  <si>
    <t>ORD-1146</t>
  </si>
  <si>
    <t>suresh tamang</t>
  </si>
  <si>
    <t>ORD-1150</t>
  </si>
  <si>
    <t>BANDANA BASNET</t>
  </si>
  <si>
    <t>Mango Juice</t>
  </si>
  <si>
    <t>LOYAL100</t>
  </si>
  <si>
    <t>ORD-1199</t>
  </si>
  <si>
    <t>Anita  Adhikari</t>
  </si>
  <si>
    <t>Lassi</t>
  </si>
  <si>
    <t>ORD-1283</t>
  </si>
  <si>
    <t>9868493407</t>
  </si>
  <si>
    <t>ORD-1067</t>
  </si>
  <si>
    <t>VEG FRIED RICE</t>
  </si>
  <si>
    <t>ORD-1027</t>
  </si>
  <si>
    <t>SAGAR POUDEL</t>
  </si>
  <si>
    <t>9896937293</t>
  </si>
  <si>
    <t>MONSOON30</t>
  </si>
  <si>
    <t>ORD-1047</t>
  </si>
  <si>
    <t>Rita Adhikari</t>
  </si>
  <si>
    <t>9883380141</t>
  </si>
  <si>
    <t>ORD-1057</t>
  </si>
  <si>
    <t>NISHA SHAKYA</t>
  </si>
  <si>
    <t>ORD-1174</t>
  </si>
  <si>
    <t>Milan Tamang</t>
  </si>
  <si>
    <t>9847045585</t>
  </si>
  <si>
    <t>Bhatti Sekuwa Corner</t>
  </si>
  <si>
    <t>Mutton Sekuwa</t>
  </si>
  <si>
    <t>ORD-1210</t>
  </si>
  <si>
    <t>9836439008</t>
  </si>
  <si>
    <t xml:space="preserve">Chicken Momo (Fried)  </t>
  </si>
  <si>
    <t>ORD-1063</t>
  </si>
  <si>
    <t>+977-9867272042</t>
  </si>
  <si>
    <t>ORD-1137</t>
  </si>
  <si>
    <t>Manisha Gurung</t>
  </si>
  <si>
    <t>+977-9891390996</t>
  </si>
  <si>
    <t xml:space="preserve">  Yomari</t>
  </si>
  <si>
    <t>ORD-1105</t>
  </si>
  <si>
    <t>deepak basnet</t>
  </si>
  <si>
    <t>ORD-1293</t>
  </si>
  <si>
    <t>Bandana  Bhattarai</t>
  </si>
  <si>
    <t>9800474395</t>
  </si>
  <si>
    <t xml:space="preserve">CHITWAN </t>
  </si>
  <si>
    <t>mutton sekuwa</t>
  </si>
  <si>
    <t>ORD-1263</t>
  </si>
  <si>
    <t>Manisha  Rai</t>
  </si>
  <si>
    <t>+977-9814913167</t>
  </si>
  <si>
    <t>Laddu (5 pcs)</t>
  </si>
  <si>
    <t>ORD-1295</t>
  </si>
  <si>
    <t>Kiran Bhattarai</t>
  </si>
  <si>
    <t>+977-9851732904</t>
  </si>
  <si>
    <t>ORD-1232</t>
  </si>
  <si>
    <t xml:space="preserve">  SAROJ GURUNG  </t>
  </si>
  <si>
    <t>9824264628</t>
  </si>
  <si>
    <t>ORD-1040</t>
  </si>
  <si>
    <t xml:space="preserve">Barfi (5 pcs)  </t>
  </si>
  <si>
    <t>ORD-1223</t>
  </si>
  <si>
    <t xml:space="preserve">  NIRMALA ADHIKARI  </t>
  </si>
  <si>
    <t>9849500324</t>
  </si>
  <si>
    <t>Choila (Buff)</t>
  </si>
  <si>
    <t>ORD-1181</t>
  </si>
  <si>
    <t>sarita shakya</t>
  </si>
  <si>
    <t>ORD-1290</t>
  </si>
  <si>
    <t>+977-9828159013</t>
  </si>
  <si>
    <t>ORD-1183</t>
  </si>
  <si>
    <t>ORD-1078</t>
  </si>
  <si>
    <t xml:space="preserve">  ANISH SHAKYA  </t>
  </si>
  <si>
    <t>9836546107</t>
  </si>
  <si>
    <t>ORD-1016</t>
  </si>
  <si>
    <t>Deepak  Basnet</t>
  </si>
  <si>
    <t>CHICKEN CHOWMEIN</t>
  </si>
  <si>
    <t>ORD-1233</t>
  </si>
  <si>
    <t>Rita  Adhikari</t>
  </si>
  <si>
    <t>+977-9883380141</t>
  </si>
  <si>
    <t>ORD-1106</t>
  </si>
  <si>
    <t xml:space="preserve">  DEEPAK BASNET  </t>
  </si>
  <si>
    <t>9849454437</t>
  </si>
  <si>
    <t>ORD-1245</t>
  </si>
  <si>
    <t xml:space="preserve">  KABITA BASNET  </t>
  </si>
  <si>
    <t>9826565150</t>
  </si>
  <si>
    <t>ORD-1022</t>
  </si>
  <si>
    <t>Mutton Thakali Set</t>
  </si>
  <si>
    <t>ORD-1298</t>
  </si>
  <si>
    <t>BIKASH LIMBU</t>
  </si>
  <si>
    <t>ORD-1198</t>
  </si>
  <si>
    <t>Rajan Shakya</t>
  </si>
  <si>
    <t>9826199582</t>
  </si>
  <si>
    <t>ORD-1160</t>
  </si>
  <si>
    <t>Saroj Gurung</t>
  </si>
  <si>
    <t>ORD-1197</t>
  </si>
  <si>
    <t>bikash shakya</t>
  </si>
  <si>
    <t>+977-9805169784</t>
  </si>
  <si>
    <t>ORD-1018</t>
  </si>
  <si>
    <t>Nisha Thapa</t>
  </si>
  <si>
    <t>9858649208</t>
  </si>
  <si>
    <t>ORD-1294</t>
  </si>
  <si>
    <t>Pradeep Maharjan</t>
  </si>
  <si>
    <t>ORD-1238</t>
  </si>
  <si>
    <t>Sita Maharjan</t>
  </si>
  <si>
    <t>9880021581</t>
  </si>
  <si>
    <t>ORD-1117</t>
  </si>
  <si>
    <t>Sarita Karki</t>
  </si>
  <si>
    <t>9889869284</t>
  </si>
  <si>
    <t>ORD-1171</t>
  </si>
  <si>
    <t>ORD-1296</t>
  </si>
  <si>
    <t xml:space="preserve">  SUJAN DAHAL  </t>
  </si>
  <si>
    <t>ORD-1112</t>
  </si>
  <si>
    <t>Bina  Shrestha</t>
  </si>
  <si>
    <t>9881741433</t>
  </si>
  <si>
    <t xml:space="preserve">Sel Roti (4 pcs)  </t>
  </si>
  <si>
    <t>ORD-1187</t>
  </si>
  <si>
    <t xml:space="preserve">  SABINA MAGAR  </t>
  </si>
  <si>
    <t>+977-9876018955</t>
  </si>
  <si>
    <t>ORD-1196</t>
  </si>
  <si>
    <t>Suresh Shrestha</t>
  </si>
  <si>
    <t>ORD-1124</t>
  </si>
  <si>
    <t>+977-9834419792</t>
  </si>
  <si>
    <t xml:space="preserve">  Chicken Burger</t>
  </si>
  <si>
    <t>ORD-1212</t>
  </si>
  <si>
    <t>Anish Tamang</t>
  </si>
  <si>
    <t>ORD-1177</t>
  </si>
  <si>
    <t>ORD-1088</t>
  </si>
  <si>
    <t>ORD-1110</t>
  </si>
  <si>
    <t>9808246281</t>
  </si>
  <si>
    <t>ORD-1084</t>
  </si>
  <si>
    <t>Gopal  Shakya</t>
  </si>
  <si>
    <t>Chicken Sekuwa</t>
  </si>
  <si>
    <t>ORD-1204</t>
  </si>
  <si>
    <t>+977-9897465075</t>
  </si>
  <si>
    <t>ORD-1076</t>
  </si>
  <si>
    <t>9851732904</t>
  </si>
  <si>
    <t>ORD-1192</t>
  </si>
  <si>
    <t>Sunita Poudel</t>
  </si>
  <si>
    <t>9877602077</t>
  </si>
  <si>
    <t>ORD-1003</t>
  </si>
  <si>
    <t>ORD-1043</t>
  </si>
  <si>
    <t xml:space="preserve">  RAJAN POUDEL  </t>
  </si>
  <si>
    <t>ORD-1080</t>
  </si>
  <si>
    <t>sita maharjan</t>
  </si>
  <si>
    <t xml:space="preserve">Veg Thakali Set  </t>
  </si>
  <si>
    <t>ORD-1014</t>
  </si>
  <si>
    <t>ORD-1086</t>
  </si>
  <si>
    <t>Sujan  Basnet</t>
  </si>
  <si>
    <t>9807806671</t>
  </si>
  <si>
    <t>ORD-1178</t>
  </si>
  <si>
    <t>9800859979</t>
  </si>
  <si>
    <t>ORD-1157</t>
  </si>
  <si>
    <t>RITA GURUNG</t>
  </si>
  <si>
    <t>+977-9874137484</t>
  </si>
  <si>
    <t>ORD-1200</t>
  </si>
  <si>
    <t>Anita Khadka</t>
  </si>
  <si>
    <t>+977-9861304451</t>
  </si>
  <si>
    <t>ORD-1216</t>
  </si>
  <si>
    <t>Sujan Lama</t>
  </si>
  <si>
    <t>9816828126</t>
  </si>
  <si>
    <t>bara</t>
  </si>
  <si>
    <t>ORD-1320</t>
  </si>
  <si>
    <t>Rajan  Shakya</t>
  </si>
  <si>
    <t>ORD-1148</t>
  </si>
  <si>
    <t>ORD-1140</t>
  </si>
  <si>
    <t>Rita Gurung</t>
  </si>
  <si>
    <t xml:space="preserve">Chilli Momo  </t>
  </si>
  <si>
    <t>ORD-1289</t>
  </si>
  <si>
    <t>ORD-1023</t>
  </si>
  <si>
    <t>Ramesh Bista</t>
  </si>
  <si>
    <t>9860926030</t>
  </si>
  <si>
    <t>ORD-1188</t>
  </si>
  <si>
    <t xml:space="preserve">  SITA LAMA  </t>
  </si>
  <si>
    <t xml:space="preserve">  Mutton Thakali Set</t>
  </si>
  <si>
    <t>ORD-1101</t>
  </si>
  <si>
    <t>Ashok Acharya</t>
  </si>
  <si>
    <t>9893158279</t>
  </si>
  <si>
    <t>ORD-1288</t>
  </si>
  <si>
    <t>ORD-1055</t>
  </si>
  <si>
    <t>Ramesh Lama</t>
  </si>
  <si>
    <t>ORD-1070</t>
  </si>
  <si>
    <t xml:space="preserve">  SUJAN ACHARYA  </t>
  </si>
  <si>
    <t>9825449920</t>
  </si>
  <si>
    <t>ORD-1310</t>
  </si>
  <si>
    <t xml:space="preserve">  SAGAR MAGAR  </t>
  </si>
  <si>
    <t>9803271124</t>
  </si>
  <si>
    <t>MARGHERITA PIZZA</t>
  </si>
  <si>
    <t>ORD-1013</t>
  </si>
  <si>
    <t>sunita magar</t>
  </si>
  <si>
    <t>9842731672</t>
  </si>
  <si>
    <t>Aloo Achar</t>
  </si>
  <si>
    <t>ORD-1218</t>
  </si>
  <si>
    <t>ORD-1155</t>
  </si>
  <si>
    <t>+977-9876174093</t>
  </si>
  <si>
    <t>CHICKEN MOMO (FRIED)</t>
  </si>
  <si>
    <t>ORD-1132</t>
  </si>
  <si>
    <t xml:space="preserve">  BINA SHRESTHA  </t>
  </si>
  <si>
    <t>ORD-1193</t>
  </si>
  <si>
    <t>Sushmita Karki</t>
  </si>
  <si>
    <t>+977-9801661318</t>
  </si>
  <si>
    <t>ORD-1015</t>
  </si>
  <si>
    <t>Manisha  Bista</t>
  </si>
  <si>
    <t>9886843353</t>
  </si>
  <si>
    <t>ORD-1115</t>
  </si>
  <si>
    <t>Sujan  Acharya</t>
  </si>
  <si>
    <t>9855459045</t>
  </si>
  <si>
    <t>R-110</t>
  </si>
  <si>
    <t>ORD-1147</t>
  </si>
  <si>
    <t>sagar maharjan</t>
  </si>
  <si>
    <t>9803852808</t>
  </si>
  <si>
    <t>ORD-1299</t>
  </si>
  <si>
    <t>ORD-1248</t>
  </si>
  <si>
    <t>Sushmita Dahal</t>
  </si>
  <si>
    <t>9875140261</t>
  </si>
  <si>
    <t>ORD-1091</t>
  </si>
  <si>
    <t>9861304451</t>
  </si>
  <si>
    <t xml:space="preserve">  Veg Fried Rice</t>
  </si>
  <si>
    <t>ORD-1036</t>
  </si>
  <si>
    <t>ORD-1141</t>
  </si>
  <si>
    <t xml:space="preserve">  RAJAN MAHARJAN  </t>
  </si>
  <si>
    <t>+977-9862019132</t>
  </si>
  <si>
    <t>ORD-1102</t>
  </si>
  <si>
    <t>Kiran Gurung</t>
  </si>
  <si>
    <t>9834093056</t>
  </si>
  <si>
    <t>ORD-1286</t>
  </si>
  <si>
    <t>rajan maharjan</t>
  </si>
  <si>
    <t>9862019132</t>
  </si>
  <si>
    <t xml:space="preserve">Veg Burger  </t>
  </si>
  <si>
    <t>ORD-1168</t>
  </si>
  <si>
    <t>Ramesh  Chhetri</t>
  </si>
  <si>
    <t>ORD-1044</t>
  </si>
  <si>
    <t>Sita  Tamang</t>
  </si>
  <si>
    <t>9831430154</t>
  </si>
  <si>
    <t>ORD-1152</t>
  </si>
  <si>
    <t>Pradeep Gurung</t>
  </si>
  <si>
    <t>BARFI (5 PCS)</t>
  </si>
  <si>
    <t>ORD-1266</t>
  </si>
  <si>
    <t>ORD-1109</t>
  </si>
  <si>
    <t>Sushmita Poudel</t>
  </si>
  <si>
    <t>ORD-1220</t>
  </si>
  <si>
    <t>Saroj  Lama</t>
  </si>
  <si>
    <t>9844604956</t>
  </si>
  <si>
    <t>ORD-1100</t>
  </si>
  <si>
    <t>Ramesh Shrestha</t>
  </si>
  <si>
    <t>+977-9800251678</t>
  </si>
  <si>
    <t>ORD-1191</t>
  </si>
  <si>
    <t>9800267511</t>
  </si>
  <si>
    <t>ORD-1089</t>
  </si>
  <si>
    <t xml:space="preserve">  RITA GURUNG  </t>
  </si>
  <si>
    <t xml:space="preserve">Milk Tea  </t>
  </si>
  <si>
    <t>ORD-1282</t>
  </si>
  <si>
    <t>9848525388</t>
  </si>
  <si>
    <t xml:space="preserve">Mutton Thakali Set  </t>
  </si>
  <si>
    <t>ORD-1008</t>
  </si>
  <si>
    <t>ramesh lama</t>
  </si>
  <si>
    <t>+977-9853705656</t>
  </si>
  <si>
    <t>ORD-1267</t>
  </si>
  <si>
    <t>Pradeep Limbu</t>
  </si>
  <si>
    <t>9806071043</t>
  </si>
  <si>
    <t>ORD-1129</t>
  </si>
  <si>
    <t>sujan lama</t>
  </si>
  <si>
    <t>ORD-1278</t>
  </si>
  <si>
    <t>BANDANA KHADKA</t>
  </si>
  <si>
    <t>ORD-1211</t>
  </si>
  <si>
    <t xml:space="preserve">  PRADEEP MAHARJAN  </t>
  </si>
  <si>
    <t>BUFF SEKUWA</t>
  </si>
  <si>
    <t>ORD-1209</t>
  </si>
  <si>
    <t xml:space="preserve">  RINA MAGAR  </t>
  </si>
  <si>
    <t>9845957117</t>
  </si>
  <si>
    <t xml:space="preserve">Veg Momo (Fried)  </t>
  </si>
  <si>
    <t>ORD-1287</t>
  </si>
  <si>
    <t>+977-9879711471</t>
  </si>
  <si>
    <t>ORD-1037</t>
  </si>
  <si>
    <t>Sagar  Khadka</t>
  </si>
  <si>
    <t>9832870465</t>
  </si>
  <si>
    <t>ORD-1256</t>
  </si>
  <si>
    <t>+977-9853549306</t>
  </si>
  <si>
    <t>BUFF MOMO (STEAMED)</t>
  </si>
  <si>
    <t>ORD-1079</t>
  </si>
  <si>
    <t>ORD-1213</t>
  </si>
  <si>
    <t>LADDU (5 PCS)</t>
  </si>
  <si>
    <t>ORD-1159</t>
  </si>
  <si>
    <t>Bikash Maharjan</t>
  </si>
  <si>
    <t>+977-9868288909</t>
  </si>
  <si>
    <t>ORD-1306</t>
  </si>
  <si>
    <t>Pradeep  Khadka</t>
  </si>
  <si>
    <t>9857591836</t>
  </si>
  <si>
    <t>ORD-1001</t>
  </si>
  <si>
    <t>Bikash  Rai</t>
  </si>
  <si>
    <t>9887801759</t>
  </si>
  <si>
    <t>ORD-1214</t>
  </si>
  <si>
    <t>Prakash  Lama</t>
  </si>
  <si>
    <t>9840037614</t>
  </si>
  <si>
    <t>ORD-1035</t>
  </si>
  <si>
    <t>Rina Magar</t>
  </si>
  <si>
    <t>ORD-1257</t>
  </si>
  <si>
    <t>Rina Lama</t>
  </si>
  <si>
    <t>ORD-1291</t>
  </si>
  <si>
    <t>Sandhya Adhikari</t>
  </si>
  <si>
    <t>9865632122</t>
  </si>
  <si>
    <t>ORD-1069</t>
  </si>
  <si>
    <t xml:space="preserve">  SUSHMITA ACHARYA  </t>
  </si>
  <si>
    <t>ORD-1074</t>
  </si>
  <si>
    <t xml:space="preserve">  RAJAN BASNET  </t>
  </si>
  <si>
    <t>chicken momo (fried)</t>
  </si>
  <si>
    <t>ORD-1011</t>
  </si>
  <si>
    <t>Sabina Magar</t>
  </si>
  <si>
    <t>9876018955</t>
  </si>
  <si>
    <t>ORD-1164</t>
  </si>
  <si>
    <t>ORD-1322</t>
  </si>
  <si>
    <t>milan bista</t>
  </si>
  <si>
    <t>9861125651</t>
  </si>
  <si>
    <t>ORD-1026</t>
  </si>
  <si>
    <t>ORD-1190</t>
  </si>
  <si>
    <t>Suresh  Dahal</t>
  </si>
  <si>
    <t>ORD-1297</t>
  </si>
  <si>
    <t>ORD-1240</t>
  </si>
  <si>
    <t>RITA BHATTARAI</t>
  </si>
  <si>
    <t>9828820018</t>
  </si>
  <si>
    <t>not happy, order took too long</t>
  </si>
  <si>
    <t>ORD-1042</t>
  </si>
  <si>
    <t xml:space="preserve">  RAJAN SHAKYA  </t>
  </si>
  <si>
    <t>SEL ROTI (4 PCS)</t>
  </si>
  <si>
    <t>ORD-1194</t>
  </si>
  <si>
    <t xml:space="preserve">Chicken Manchurian  </t>
  </si>
  <si>
    <t>ORD-1153</t>
  </si>
  <si>
    <t>9834419792</t>
  </si>
  <si>
    <t>ORD-1093</t>
  </si>
  <si>
    <t>sujan acharya</t>
  </si>
  <si>
    <t>ORD-1175</t>
  </si>
  <si>
    <t>Pradeep  Limbu</t>
  </si>
  <si>
    <t>9887780063</t>
  </si>
  <si>
    <t>ORD-1039</t>
  </si>
  <si>
    <t>Rohit  Lama</t>
  </si>
  <si>
    <t>9833043483</t>
  </si>
  <si>
    <t>ORD-1095</t>
  </si>
  <si>
    <t>ORD-1004</t>
  </si>
  <si>
    <t xml:space="preserve">  SURESH MAGAR  </t>
  </si>
  <si>
    <t>ORD-1125</t>
  </si>
  <si>
    <t>ORD-1270</t>
  </si>
  <si>
    <t>ORD-1030</t>
  </si>
  <si>
    <t>Manisha  Gurung</t>
  </si>
  <si>
    <t xml:space="preserve">  Veg Thakali Set</t>
  </si>
  <si>
    <t>ORD-1202</t>
  </si>
  <si>
    <t>+977-9807924402</t>
  </si>
  <si>
    <t>ORD-1319</t>
  </si>
  <si>
    <t>sagar khadka</t>
  </si>
  <si>
    <t>ORD-1126</t>
  </si>
  <si>
    <t>ORD-1215</t>
  </si>
  <si>
    <t>ORD-1165</t>
  </si>
  <si>
    <t>Gopal Chhetri</t>
  </si>
  <si>
    <t>+977-9845378383</t>
  </si>
  <si>
    <t>ORD-1303</t>
  </si>
  <si>
    <t>Prakash Lama</t>
  </si>
  <si>
    <t>ORD-1184</t>
  </si>
  <si>
    <t>ORD-1206</t>
  </si>
  <si>
    <t>RINA ADHIKARI</t>
  </si>
  <si>
    <t>ORD-1315</t>
  </si>
  <si>
    <t>RITA ADHIKARI</t>
  </si>
  <si>
    <t>ORD-1012</t>
  </si>
  <si>
    <t>9800251678</t>
  </si>
  <si>
    <t>ORD-1302</t>
  </si>
  <si>
    <t>ORD-1050</t>
  </si>
  <si>
    <t>Milan  Thapa</t>
  </si>
  <si>
    <t>ORD-1285</t>
  </si>
  <si>
    <t>Sagar Poudel</t>
  </si>
  <si>
    <t>+977-9861078852</t>
  </si>
  <si>
    <t>ORD-1279</t>
  </si>
  <si>
    <t>GOPAL CHHETRI</t>
  </si>
  <si>
    <t>ORD-1066</t>
  </si>
  <si>
    <t>Anish Shakya</t>
  </si>
  <si>
    <t>CHEESE CAKE SLICE</t>
  </si>
  <si>
    <t>ORD-1253</t>
  </si>
  <si>
    <t>pradeep limbu</t>
  </si>
  <si>
    <t>ORD-1068</t>
  </si>
  <si>
    <t>BANDANA BHATTARAI</t>
  </si>
  <si>
    <t>ORD-1082</t>
  </si>
  <si>
    <t>BINA SHRESTHA</t>
  </si>
  <si>
    <t xml:space="preserve">  Chicken Chowmein</t>
  </si>
  <si>
    <t>ORD-1090</t>
  </si>
  <si>
    <t>9824180578</t>
  </si>
  <si>
    <t xml:space="preserve">  Barfi (5 pcs)</t>
  </si>
  <si>
    <t>ORD-1222</t>
  </si>
  <si>
    <t>9842821167</t>
  </si>
  <si>
    <t>CHICKEN MOMO (STEAMED)</t>
  </si>
  <si>
    <t>ORD-1075</t>
  </si>
  <si>
    <t>+977-9880021581</t>
  </si>
  <si>
    <t>CHICKEN MANCHURIAN</t>
  </si>
  <si>
    <t>ORD-1087</t>
  </si>
  <si>
    <t>Ashok Shrestha</t>
  </si>
  <si>
    <t>veg thakali set</t>
  </si>
  <si>
    <t>ORD-1195</t>
  </si>
  <si>
    <t>Sagar  Poudel</t>
  </si>
  <si>
    <t>ORD-1032</t>
  </si>
  <si>
    <t>ORD-1033</t>
  </si>
  <si>
    <t>ramesh shrestha</t>
  </si>
  <si>
    <t>ORD-1149</t>
  </si>
  <si>
    <t xml:space="preserve">  Buff Momo (Steamed)</t>
  </si>
  <si>
    <t>ORD-1162</t>
  </si>
  <si>
    <t xml:space="preserve">  RAJAN ADHIKARI  </t>
  </si>
  <si>
    <t>+977-9886844318</t>
  </si>
  <si>
    <t>ORD-1028</t>
  </si>
  <si>
    <t>kabita limbu</t>
  </si>
  <si>
    <t>9891564041</t>
  </si>
  <si>
    <t>ORD-1123</t>
  </si>
  <si>
    <t>ORD-1052</t>
  </si>
  <si>
    <t>ORD-1002</t>
  </si>
  <si>
    <t xml:space="preserve">  PRAKASH GURUNG  </t>
  </si>
  <si>
    <t>+977-9809541858</t>
  </si>
  <si>
    <t xml:space="preserve">French Fries  </t>
  </si>
  <si>
    <t>ORD-1228</t>
  </si>
  <si>
    <t>Pradeep  Tamang</t>
  </si>
  <si>
    <t>9833249351</t>
  </si>
  <si>
    <t>ORD-1145</t>
  </si>
  <si>
    <t>Prakash Gurung</t>
  </si>
  <si>
    <t>9809541858</t>
  </si>
  <si>
    <t>ORD-1301</t>
  </si>
  <si>
    <t>+977-9894923597</t>
  </si>
  <si>
    <t>ORD-1163</t>
  </si>
  <si>
    <t>ORD-1133</t>
  </si>
  <si>
    <t>nirmala dahal</t>
  </si>
  <si>
    <t>ORD-1255</t>
  </si>
  <si>
    <t>+977-9868773132</t>
  </si>
  <si>
    <t>ORD-1246</t>
  </si>
  <si>
    <t>Pradeep Rai</t>
  </si>
  <si>
    <t>9824023448</t>
  </si>
  <si>
    <t>ORD-1019</t>
  </si>
  <si>
    <t>+977-9868656355</t>
  </si>
  <si>
    <t>ORD-1172</t>
  </si>
  <si>
    <t>gopal chhetri</t>
  </si>
  <si>
    <t>9845378383</t>
  </si>
  <si>
    <t>ORD-1006</t>
  </si>
  <si>
    <t>sita bhattarai</t>
  </si>
  <si>
    <t>+977-9851313735</t>
  </si>
  <si>
    <t>ORD-1207</t>
  </si>
  <si>
    <t>ORD-1221</t>
  </si>
  <si>
    <t>SITA KHADKA</t>
  </si>
  <si>
    <t>ORD-1154</t>
  </si>
  <si>
    <t>Nirmala Adhikari</t>
  </si>
  <si>
    <t>+977-9849500324</t>
  </si>
  <si>
    <t>ORD-1065</t>
  </si>
  <si>
    <t xml:space="preserve">Black Coffee  </t>
  </si>
  <si>
    <t>ORD-1108</t>
  </si>
  <si>
    <t>ORD-1127</t>
  </si>
  <si>
    <t xml:space="preserve">  MANISHA THAPA  </t>
  </si>
  <si>
    <t>9868831067</t>
  </si>
  <si>
    <t>ORD-1104</t>
  </si>
  <si>
    <t>PRAKASH LAMA</t>
  </si>
  <si>
    <t>+977-9840037614</t>
  </si>
  <si>
    <t>ORD-1059</t>
  </si>
  <si>
    <t>Sita  Maharjan</t>
  </si>
  <si>
    <t xml:space="preserve">  Chocolate Pastry</t>
  </si>
  <si>
    <t>ORD-1009</t>
  </si>
  <si>
    <t>Nisha Bista</t>
  </si>
  <si>
    <t>9874121547</t>
  </si>
  <si>
    <t>ORD-1034</t>
  </si>
  <si>
    <t>Sushmita  Karki</t>
  </si>
  <si>
    <t>9801661318</t>
  </si>
  <si>
    <t>ORD-1072</t>
  </si>
  <si>
    <t>Deepak Chhetri</t>
  </si>
  <si>
    <t>+977-9818746331</t>
  </si>
  <si>
    <t>ORD-1122</t>
  </si>
  <si>
    <t>+977-9823468535</t>
  </si>
  <si>
    <t>ORD-1182</t>
  </si>
  <si>
    <t>ORD-1064</t>
  </si>
  <si>
    <t>Milan Poudel</t>
  </si>
  <si>
    <t>+977-9820109832</t>
  </si>
  <si>
    <t>ORD-1113</t>
  </si>
  <si>
    <t>SITA MAHARJAN</t>
  </si>
  <si>
    <t xml:space="preserve">Chicken Chowmein  </t>
  </si>
  <si>
    <t>ORD-1161</t>
  </si>
  <si>
    <t>SUJAN DAHAL</t>
  </si>
  <si>
    <t>ORD-1312</t>
  </si>
  <si>
    <t xml:space="preserve">Veg Fried Rice  </t>
  </si>
  <si>
    <t>ORD-1219</t>
  </si>
  <si>
    <t xml:space="preserve">  NISHA CHHETRI  </t>
  </si>
  <si>
    <t>+977-9871834170</t>
  </si>
  <si>
    <t>ORD-1251</t>
  </si>
  <si>
    <t xml:space="preserve">Jhol Momo  </t>
  </si>
  <si>
    <t>ORD-1231</t>
  </si>
  <si>
    <t>ORD-1119</t>
  </si>
  <si>
    <t>Sujan Acharya</t>
  </si>
  <si>
    <t>ORD-1236</t>
  </si>
  <si>
    <t>Kiran Limbu</t>
  </si>
  <si>
    <t>9890604431</t>
  </si>
  <si>
    <t>ORD-1304</t>
  </si>
  <si>
    <t xml:space="preserve">  ASHOK SHRESTHA  </t>
  </si>
  <si>
    <t>ORD-1138</t>
  </si>
  <si>
    <t>ORD-1029</t>
  </si>
  <si>
    <t>ORD-1272</t>
  </si>
  <si>
    <t>9837504310</t>
  </si>
  <si>
    <t>ORD-1241</t>
  </si>
  <si>
    <t>ORD-1269</t>
  </si>
  <si>
    <t>NIRMALA DAHAL</t>
  </si>
  <si>
    <t>ORD-1249</t>
  </si>
  <si>
    <t>Anita  Limbu</t>
  </si>
  <si>
    <t>ORD-1292</t>
  </si>
  <si>
    <t>ORD-1081</t>
  </si>
  <si>
    <t xml:space="preserve">Bara  </t>
  </si>
  <si>
    <t>ORD-1262</t>
  </si>
  <si>
    <t>ORD-1323</t>
  </si>
  <si>
    <t>suresh shrestha</t>
  </si>
  <si>
    <t>YOMARI</t>
  </si>
  <si>
    <t>ORD-1237</t>
  </si>
  <si>
    <t>Nisha  Shakya</t>
  </si>
  <si>
    <t>+977-9866661760</t>
  </si>
  <si>
    <t>ORD-1051</t>
  </si>
  <si>
    <t xml:space="preserve">  PRADEEP TAMANG  </t>
  </si>
  <si>
    <t>ORD-1275</t>
  </si>
  <si>
    <t>manisha bista</t>
  </si>
  <si>
    <t>ORD-1230</t>
  </si>
  <si>
    <t>ORD-1134</t>
  </si>
  <si>
    <t>ORD-1170</t>
  </si>
  <si>
    <t>ORD-1185</t>
  </si>
  <si>
    <t xml:space="preserve">  SUNITA TAMANG  </t>
  </si>
  <si>
    <t>9894130787</t>
  </si>
  <si>
    <t>ORD-1205</t>
  </si>
  <si>
    <t>ORD-1085</t>
  </si>
  <si>
    <t>cheese cake slice</t>
  </si>
  <si>
    <t>ORD-1239</t>
  </si>
  <si>
    <t>ORD-1305</t>
  </si>
  <si>
    <t>ORD-1247</t>
  </si>
  <si>
    <t>Rajan  Maharjan</t>
  </si>
  <si>
    <t>ORD-1316</t>
  </si>
  <si>
    <t>+977-9824264628</t>
  </si>
  <si>
    <t>ORD-1234</t>
  </si>
  <si>
    <t>ORD-1254</t>
  </si>
  <si>
    <t>Kabita  Adhikari</t>
  </si>
  <si>
    <t>ORD-1111</t>
  </si>
  <si>
    <t>ORD-1203</t>
  </si>
  <si>
    <t>chicken momo (steamed)</t>
  </si>
  <si>
    <t>ORD-1242</t>
  </si>
  <si>
    <t>ORD-1099</t>
  </si>
  <si>
    <t>ORD-1189</t>
  </si>
  <si>
    <t>ORD-1121</t>
  </si>
  <si>
    <t xml:space="preserve">  ASHOK BISTA  </t>
  </si>
  <si>
    <t>9826516761</t>
  </si>
  <si>
    <t xml:space="preserve">BHAKTAPUR </t>
  </si>
  <si>
    <t>ORD-1049</t>
  </si>
  <si>
    <t>sabina magar</t>
  </si>
  <si>
    <t>butwal</t>
  </si>
  <si>
    <t xml:space="preserve">Chicken Pizza  </t>
  </si>
  <si>
    <t>ORD-1261</t>
  </si>
  <si>
    <t>Rajan Adhikari</t>
  </si>
  <si>
    <t>ORD-1313</t>
  </si>
  <si>
    <t>Sagar  Tamang</t>
  </si>
  <si>
    <t>+977-9820297299</t>
  </si>
  <si>
    <t>ORD-1208</t>
  </si>
  <si>
    <t xml:space="preserve">  ROHIT LIMBU  </t>
  </si>
  <si>
    <t xml:space="preserve">Veg Chopsuey  </t>
  </si>
  <si>
    <t>UnitPrice_NPR</t>
  </si>
  <si>
    <t>RiderName</t>
  </si>
  <si>
    <t>CityZone</t>
  </si>
  <si>
    <t>VehicleType</t>
  </si>
  <si>
    <t>JoinDate</t>
  </si>
  <si>
    <t>RiderStatus</t>
  </si>
  <si>
    <t>Rina Rai</t>
  </si>
  <si>
    <t>Scooter</t>
  </si>
  <si>
    <t>Active</t>
  </si>
  <si>
    <t>Motorbike</t>
  </si>
  <si>
    <t>Prakash Thapa</t>
  </si>
  <si>
    <t>Sabina Karki</t>
  </si>
  <si>
    <t>Ramesh Adhikari</t>
  </si>
  <si>
    <t>Sarita Lama</t>
  </si>
  <si>
    <t>Sagar Rai</t>
  </si>
  <si>
    <t>Sunita Adhikari</t>
  </si>
  <si>
    <t>Milan Karki</t>
  </si>
  <si>
    <t>Kiran Shrestha</t>
  </si>
  <si>
    <t>Rina Bhattarai</t>
  </si>
  <si>
    <t>Sarita Shrestha</t>
  </si>
  <si>
    <t>Nabin Chhetri</t>
  </si>
  <si>
    <t>Kabita Khadka</t>
  </si>
  <si>
    <t>Nisha Khadka</t>
  </si>
  <si>
    <t>Puja Khadka</t>
  </si>
  <si>
    <t>Rina Chhetri</t>
  </si>
  <si>
    <t>Sabina Adhikari</t>
  </si>
  <si>
    <t>Anish Magar</t>
  </si>
  <si>
    <t>Inactive</t>
  </si>
  <si>
    <t>Rajan Magar</t>
  </si>
  <si>
    <t>Ashok Limbu</t>
  </si>
  <si>
    <t>Sabina Thapa</t>
  </si>
  <si>
    <t>Sita Adhikari</t>
  </si>
  <si>
    <t>Description</t>
  </si>
  <si>
    <t>DiscountType</t>
  </si>
  <si>
    <t>DiscountValue</t>
  </si>
  <si>
    <t>ValidFrom</t>
  </si>
  <si>
    <t>ValidTo</t>
  </si>
  <si>
    <t>New user discount</t>
  </si>
  <si>
    <t>Flat</t>
  </si>
  <si>
    <t>Flat off on first order</t>
  </si>
  <si>
    <t>20% off on Momo orders</t>
  </si>
  <si>
    <t>Percentage</t>
  </si>
  <si>
    <t>Dashain festival offer</t>
  </si>
  <si>
    <t>Tihar festival offer</t>
  </si>
  <si>
    <t>Flat off during rainy days</t>
  </si>
  <si>
    <t>Weekend discount</t>
  </si>
  <si>
    <t>Loyalty reward flat off</t>
  </si>
  <si>
    <t>Note: DiscountValue = % off when DiscountType is Percentage (e.g. 10 means 10%). DiscountValue = Rs off when DiscountType is Flat.</t>
  </si>
  <si>
    <t>Zone</t>
  </si>
  <si>
    <t>BaseDeliveryFee_NPR</t>
  </si>
  <si>
    <t>Inside Valley</t>
  </si>
  <si>
    <t>Outside Valley</t>
  </si>
  <si>
    <t>Expect this to take a few hours, not minutes. Google things. Get stuck. That's normal, that's the job.</t>
  </si>
  <si>
    <t>Right-click the Orders_Raw tab -&gt; Move or Copy -&gt; tick 'Create a copy' -&gt; rename the copy Orders_Working. Do every task below inside Orders_Working. Never touch Orders_Raw again, it's your backup.</t>
  </si>
  <si>
    <t>Customer Phone is inconsistent, some numbers have '+977-' in front, some don't. Remove the country code from all of them, then insert a dash after the first 4 digits, e.g. 9841-234567.</t>
  </si>
  <si>
    <t>Two Order IDs each appear twice in the sheet. Find both pairs and highlight all four rows. Don't delete anything, in a nearby cell or comment, note which row in each pair looks like the more complete / correct entry, and why you think so.</t>
  </si>
  <si>
    <t>A few Delivery Time Taken values look impossible for a scooter delivery. Use conditional formatting to highlight anything unrealistic. You decide the cutoff, write it in a cell along with one line on your reasoning.</t>
  </si>
  <si>
    <t>Convert your cleaned range into a proper Excel Table. Add a dropdown (Data Validation) on Order Status, limited to Delivered, Cancelled, Returned, nothing else should be typeable there anymore.</t>
  </si>
  <si>
    <t>Bring in the correct Unit Price for every order from Menu_Price_List, matched on Item Name. A plain lookup will fail on a handful of rows, find out why before you fix it.</t>
  </si>
  <si>
    <t>Some orders used a Promo Code, some didn't (blank). For the ones that did, calculate a Discount Amount, but check Promo_Codes first, because some codes are a percentage off and others are a flat Rupee amount off. A blank code means 0 discount.</t>
  </si>
  <si>
    <t>In Rider_Directory, Rider ID is the LAST column, not the first. Still bring each order's Rider City/Zone and Vehicle Type into Orders_Working, matched on Rider ID. (One lookup function you learned doesn't care which side of the table the match column sits on, that's the one you want here.)</t>
  </si>
  <si>
    <t>Filter Orders_Working down to one city. With the filter still applied, get the sum of Final Amount for just the visible rows. SUM will quietly give you the wrong number here, a different function won't.</t>
  </si>
  <si>
    <t>Now do it a second way, with a formula instead. Use one of the two straight-trend-line functions you learned, for the same future weeks.</t>
  </si>
  <si>
    <t>That's the full project. Work sheet by sheet, save often, and don't panic if a lookup throws an error, that's usually the point of that question.</t>
  </si>
  <si>
    <t>Sunita Tamang</t>
  </si>
  <si>
    <t>Sita Khadka</t>
  </si>
  <si>
    <t>Gopal Shakya</t>
  </si>
  <si>
    <t>Sarita Shakya</t>
  </si>
  <si>
    <t>Gopal Karki</t>
  </si>
  <si>
    <t>Kiran Maharjan</t>
  </si>
  <si>
    <t>Milan Thapa</t>
  </si>
  <si>
    <t>Sarita Maharjan</t>
  </si>
  <si>
    <t>Bikash Shakya</t>
  </si>
  <si>
    <t>Anita Adhikari</t>
  </si>
  <si>
    <t>Ramesh Chhetri</t>
  </si>
  <si>
    <t>Suresh Thapa</t>
  </si>
  <si>
    <t>Suresh Tamang</t>
  </si>
  <si>
    <t>Bandana Bhattarai</t>
  </si>
  <si>
    <t>Kabita Basnet</t>
  </si>
  <si>
    <t>Bina Shrestha</t>
  </si>
  <si>
    <t>Sujan Basnet</t>
  </si>
  <si>
    <t>Sita Lama</t>
  </si>
  <si>
    <t>Sagar Magar</t>
  </si>
  <si>
    <t>Sunita Magar</t>
  </si>
  <si>
    <t>Manisha Bista</t>
  </si>
  <si>
    <t>Sagar Maharjan</t>
  </si>
  <si>
    <t>Rajan Maharjan</t>
  </si>
  <si>
    <t>Sita Tamang</t>
  </si>
  <si>
    <t>Saroj Lama</t>
  </si>
  <si>
    <t>Sagar Khadka</t>
  </si>
  <si>
    <t>Pradeep Khadka</t>
  </si>
  <si>
    <t>Bikash Rai</t>
  </si>
  <si>
    <t>Milan Bista</t>
  </si>
  <si>
    <t>Rita Bhattarai</t>
  </si>
  <si>
    <t>Rohit Lama</t>
  </si>
  <si>
    <t>Kabita Limbu</t>
  </si>
  <si>
    <t>Pradeep Tamang</t>
  </si>
  <si>
    <t>Sita Bhattarai</t>
  </si>
  <si>
    <t>Manisha Thapa</t>
  </si>
  <si>
    <t>Ashok Bista</t>
  </si>
  <si>
    <t>Nabin Magar</t>
  </si>
  <si>
    <t>Ashok Bhattarai</t>
  </si>
  <si>
    <t>9874-911862</t>
  </si>
  <si>
    <t>9884-529841</t>
  </si>
  <si>
    <t>9848-525388</t>
  </si>
  <si>
    <t>9878-245040</t>
  </si>
  <si>
    <t>9867-272042</t>
  </si>
  <si>
    <t>9853-549306</t>
  </si>
  <si>
    <t>9828-159013</t>
  </si>
  <si>
    <t>9808-246281</t>
  </si>
  <si>
    <t>9853-705656</t>
  </si>
  <si>
    <t>9887-355706</t>
  </si>
  <si>
    <t>9848-113114</t>
  </si>
  <si>
    <t>9899-075116</t>
  </si>
  <si>
    <t>9823-159425</t>
  </si>
  <si>
    <t>9816-957220</t>
  </si>
  <si>
    <t>9840-206797</t>
  </si>
  <si>
    <t>9837-504310</t>
  </si>
  <si>
    <t>9844-634786</t>
  </si>
  <si>
    <t>9850-201462</t>
  </si>
  <si>
    <t>9868-656355</t>
  </si>
  <si>
    <t>9824-180578</t>
  </si>
  <si>
    <t>9851-313735</t>
  </si>
  <si>
    <t>9843-520561</t>
  </si>
  <si>
    <t>9868-773132</t>
  </si>
  <si>
    <t>9805-877065</t>
  </si>
  <si>
    <t>9807-924402</t>
  </si>
  <si>
    <t>9809-378657</t>
  </si>
  <si>
    <t>9894-130787</t>
  </si>
  <si>
    <t>9883-645074</t>
  </si>
  <si>
    <t>9813-613412</t>
  </si>
  <si>
    <t>9860-181590</t>
  </si>
  <si>
    <t>9838-831701</t>
  </si>
  <si>
    <t>9853-663062</t>
  </si>
  <si>
    <t>9871-834170</t>
  </si>
  <si>
    <t>9821-993518</t>
  </si>
  <si>
    <t>9821-387837</t>
  </si>
  <si>
    <t>9897-465075</t>
  </si>
  <si>
    <t>9868-493407</t>
  </si>
  <si>
    <t>9822-791805</t>
  </si>
  <si>
    <t>9862-833125</t>
  </si>
  <si>
    <t>9868-288909</t>
  </si>
  <si>
    <t>9814-865465</t>
  </si>
  <si>
    <t>9859-952890</t>
  </si>
  <si>
    <t>9874-137484</t>
  </si>
  <si>
    <t>9869-919220</t>
  </si>
  <si>
    <t>9882-651233</t>
  </si>
  <si>
    <t>9820-109832</t>
  </si>
  <si>
    <t>9820-297299</t>
  </si>
  <si>
    <t>9817-180023</t>
  </si>
  <si>
    <t>9809-773797</t>
  </si>
  <si>
    <t>9883-478878</t>
  </si>
  <si>
    <t>9866-661760</t>
  </si>
  <si>
    <t>9879-711471</t>
  </si>
  <si>
    <t>9828-288072</t>
  </si>
  <si>
    <t>9814-913167</t>
  </si>
  <si>
    <t>9800-267511</t>
  </si>
  <si>
    <t>9848-372616</t>
  </si>
  <si>
    <t>9805-169784</t>
  </si>
  <si>
    <t>9870-822765</t>
  </si>
  <si>
    <t>9886-205798</t>
  </si>
  <si>
    <t>9855-032624</t>
  </si>
  <si>
    <t>9876-174093</t>
  </si>
  <si>
    <t>9888-387371</t>
  </si>
  <si>
    <t>9837-215901</t>
  </si>
  <si>
    <t>9849-454437</t>
  </si>
  <si>
    <t>9843-325365</t>
  </si>
  <si>
    <t>9855-459045</t>
  </si>
  <si>
    <t>9896-937293</t>
  </si>
  <si>
    <t>9883-380141</t>
  </si>
  <si>
    <t>9847-045585</t>
  </si>
  <si>
    <t>9836-439008</t>
  </si>
  <si>
    <t>9891-390996</t>
  </si>
  <si>
    <t>9800-474395</t>
  </si>
  <si>
    <t>9851-732904</t>
  </si>
  <si>
    <t>9824-264628</t>
  </si>
  <si>
    <t>9849-500324</t>
  </si>
  <si>
    <t>9836-546107</t>
  </si>
  <si>
    <t>9826-565150</t>
  </si>
  <si>
    <t>9826-199582</t>
  </si>
  <si>
    <t>9858-649208</t>
  </si>
  <si>
    <t>9880-021581</t>
  </si>
  <si>
    <t>9889-869284</t>
  </si>
  <si>
    <t>9881-741433</t>
  </si>
  <si>
    <t>9876-018955</t>
  </si>
  <si>
    <t>9834-419792</t>
  </si>
  <si>
    <t>9877-602077</t>
  </si>
  <si>
    <t>9807-806671</t>
  </si>
  <si>
    <t>9800-859979</t>
  </si>
  <si>
    <t>9861-304451</t>
  </si>
  <si>
    <t>9816-828126</t>
  </si>
  <si>
    <t>9860-926030</t>
  </si>
  <si>
    <t>9893-158279</t>
  </si>
  <si>
    <t>9825-449920</t>
  </si>
  <si>
    <t>9803-271124</t>
  </si>
  <si>
    <t>9842-731672</t>
  </si>
  <si>
    <t>9801-661318</t>
  </si>
  <si>
    <t>9886-843353</t>
  </si>
  <si>
    <t>9803-852808</t>
  </si>
  <si>
    <t>9875-140261</t>
  </si>
  <si>
    <t>9862-019132</t>
  </si>
  <si>
    <t>9834-093056</t>
  </si>
  <si>
    <t>9831-430154</t>
  </si>
  <si>
    <t>9844-604956</t>
  </si>
  <si>
    <t>9800-251678</t>
  </si>
  <si>
    <t>9806-071043</t>
  </si>
  <si>
    <t>9845-957117</t>
  </si>
  <si>
    <t>9832-870465</t>
  </si>
  <si>
    <t>9857-591836</t>
  </si>
  <si>
    <t>9887-801759</t>
  </si>
  <si>
    <t>9840-037614</t>
  </si>
  <si>
    <t>9865-632122</t>
  </si>
  <si>
    <t>9861-125651</t>
  </si>
  <si>
    <t>9828-820018</t>
  </si>
  <si>
    <t>9887-780063</t>
  </si>
  <si>
    <t>9833-043483</t>
  </si>
  <si>
    <t>9845-378383</t>
  </si>
  <si>
    <t>9861-078852</t>
  </si>
  <si>
    <t>9842-821167</t>
  </si>
  <si>
    <t>9886-844318</t>
  </si>
  <si>
    <t>9891-564041</t>
  </si>
  <si>
    <t>9809-541858</t>
  </si>
  <si>
    <t>9833-249351</t>
  </si>
  <si>
    <t>9894-923597</t>
  </si>
  <si>
    <t>9824-023448</t>
  </si>
  <si>
    <t>9868-831067</t>
  </si>
  <si>
    <t>9874-121547</t>
  </si>
  <si>
    <t>9818-746331</t>
  </si>
  <si>
    <t>9823-468535</t>
  </si>
  <si>
    <t>9890-604431</t>
  </si>
  <si>
    <t>9826-516761</t>
  </si>
  <si>
    <t>Status Review</t>
  </si>
  <si>
    <t>Customer Type</t>
  </si>
  <si>
    <t>Order Summary</t>
  </si>
  <si>
    <t>Customer Name</t>
  </si>
  <si>
    <t>Customer Phone</t>
  </si>
  <si>
    <t>Restaurant Partner</t>
  </si>
  <si>
    <t>City Upper</t>
  </si>
  <si>
    <t>Payment Lower</t>
  </si>
  <si>
    <t>Earliest Date</t>
  </si>
  <si>
    <t>Latest Date</t>
  </si>
  <si>
    <t>Lowest Time</t>
  </si>
  <si>
    <t>Highest Time</t>
  </si>
  <si>
    <t>Avg Customer Rating</t>
  </si>
  <si>
    <t>Filled Ratings</t>
  </si>
  <si>
    <t>Total Row</t>
  </si>
  <si>
    <t>Unit Price</t>
  </si>
  <si>
    <t>Order Amount</t>
  </si>
  <si>
    <t>Delivery Fee</t>
  </si>
  <si>
    <t>Final Amount</t>
  </si>
  <si>
    <t>Rider City</t>
  </si>
  <si>
    <t>Discount Amount</t>
  </si>
  <si>
    <t>Value Tier</t>
  </si>
  <si>
    <t>Pokhara Final Amount of Cancelled orders</t>
  </si>
  <si>
    <t>Order Complete</t>
  </si>
  <si>
    <t>Sum of Final Amount</t>
  </si>
  <si>
    <t>Cancelled Restaurant Partners</t>
  </si>
  <si>
    <t>Promo Check</t>
  </si>
  <si>
    <t>No of expired promo orders</t>
  </si>
  <si>
    <t>Total Reveue</t>
  </si>
  <si>
    <t>Average Rating</t>
  </si>
  <si>
    <t>Row Labels</t>
  </si>
  <si>
    <t>Grand Total</t>
  </si>
  <si>
    <t>2025</t>
  </si>
  <si>
    <t>2026</t>
  </si>
  <si>
    <t>Column Labels</t>
  </si>
  <si>
    <t>Jan</t>
  </si>
  <si>
    <t>Aug</t>
  </si>
  <si>
    <t>Sep</t>
  </si>
  <si>
    <t>Oct</t>
  </si>
  <si>
    <t>Nov</t>
  </si>
  <si>
    <t>Dec</t>
  </si>
  <si>
    <t>2025 Total</t>
  </si>
  <si>
    <t>2026 Total</t>
  </si>
  <si>
    <t>Cancellation Rate</t>
  </si>
  <si>
    <t>Count of OrderID</t>
  </si>
  <si>
    <t>Average of CustomerRating</t>
  </si>
  <si>
    <t>Average of DeliveryTimeTaken_Min</t>
  </si>
  <si>
    <t xml:space="preserve"> </t>
  </si>
  <si>
    <t>Category</t>
  </si>
  <si>
    <t>Total order Amount</t>
  </si>
  <si>
    <t>Discount Given</t>
  </si>
  <si>
    <t>Cancelled/Returned Order Value</t>
  </si>
  <si>
    <t>Final Revenue</t>
  </si>
  <si>
    <t>Amount</t>
  </si>
  <si>
    <t>Delivery fee</t>
  </si>
  <si>
    <t>The Waterfall chart shows that cancelled and returned orders represent the largest loss, amounting to Rs. 30,940.</t>
  </si>
  <si>
    <t>Differences in rider availability, traffic, distance and city layout may help explain the variation.</t>
  </si>
  <si>
    <t xml:space="preserve">Busier cities do not always deliver more slowly. Kathmandu has the highest number of orders at 83 but an average delivery time of only 34.67 minutes, </t>
  </si>
  <si>
    <t xml:space="preserve">while cities such as Pokhara and Biratnagar have fewer orders but much longer delivery times. </t>
  </si>
  <si>
    <t xml:space="preserve">Orders show a noticeable spike from around 21 to 31 October 2025, with the highest daily volume reaching 8 orders on 26 October. </t>
  </si>
  <si>
    <t>This period coincided with Tihar ( Main festival celebrated in Nepal) , which likely increased food delivery demand because of family gatherings, celebrations and increased household consumption.</t>
  </si>
  <si>
    <t xml:space="preserve">Butwal has lowest average customer rating at 2.89 and an average delivery time of 42 minutes. </t>
  </si>
  <si>
    <t>It has only two riders in total, but only one is active, which may be cause to slower deliveries and lower customer ratings.</t>
  </si>
  <si>
    <t>Total Orders</t>
  </si>
  <si>
    <t xml:space="preserve">Dates ( Weekly) </t>
  </si>
  <si>
    <t>Forecast(Total Orders)</t>
  </si>
  <si>
    <t>Lower Confidence Bound(Total Orders)</t>
  </si>
  <si>
    <t>Upper Confidence Bound(Total Orders)</t>
  </si>
  <si>
    <t xml:space="preserve"> B2</t>
  </si>
  <si>
    <t>E3: Forecast linear formula (Total orders)</t>
  </si>
  <si>
    <t xml:space="preserve">The two forecasts give different results. FORECAST.LINEAR shows a slow increase from around 15 to 18 orders per week in the next 3 months. </t>
  </si>
  <si>
    <t>This is because it looks at all 6 months of data and follows the overall trend, so it does not give much importance to the festival spike in October and November.</t>
  </si>
  <si>
    <t xml:space="preserve">FORECAST.ETS gives a slightly higher forecast of around 17 to 20 orders per week because it focuses more on the recent data. </t>
  </si>
  <si>
    <t>It also gives a confidence range instead of just one number, which shows that the actual orders could be higher or lower.</t>
  </si>
  <si>
    <t xml:space="preserve">I would prefer the ETS forecast because it gives a better idea of the uncertainty. </t>
  </si>
  <si>
    <t>However, since there are only 6 months of data, it is still difficult to know if the festival increase is a regular seasonal pattern or just a one-time increase.</t>
  </si>
  <si>
    <t>Tota Orders</t>
  </si>
  <si>
    <t>Average Order</t>
  </si>
  <si>
    <t>Revenue</t>
  </si>
  <si>
    <t>Monthly Orders</t>
  </si>
  <si>
    <t>Projected Revenue</t>
  </si>
  <si>
    <t>Delivery Charges</t>
  </si>
  <si>
    <t>Overall, increasing the delivery fee can increase revenue, but the increase is not very large, and customer demand should be considered before making a decision.</t>
  </si>
  <si>
    <t xml:space="preserve">The business is already above the Rs 35,000 target even with a Rs 50 delivery fee. </t>
  </si>
  <si>
    <t>This means increasing the fee is not necessary to reach the target. It would only give some extra revenue.</t>
  </si>
  <si>
    <t>However, this calculation assumes that the number of orders stays the same even when the delivery fee increases.</t>
  </si>
  <si>
    <t xml:space="preserve"> In reality, higher fees could cause some customers to place fewer orders or choose another service. </t>
  </si>
  <si>
    <t>Therefore, the actual revenue from increasing the delivery fee could be lower than the table shows.</t>
  </si>
  <si>
    <t>Scenario Manager</t>
  </si>
  <si>
    <t>I created three scenarios by changing the Total Orders and Average Order Value together.</t>
  </si>
  <si>
    <r>
      <t>Weak Month:</t>
    </r>
    <r>
      <rPr>
        <sz val="11"/>
        <color theme="1"/>
        <rFont val="Calibri"/>
        <family val="2"/>
        <scheme val="minor"/>
      </rPr>
      <t xml:space="preserve"> 50 orders × Rs 480 = Rs 24,000 revenue</t>
    </r>
  </si>
  <si>
    <r>
      <t>Normal Month:</t>
    </r>
    <r>
      <rPr>
        <sz val="11"/>
        <color theme="1"/>
        <rFont val="Calibri"/>
        <family val="2"/>
        <scheme val="minor"/>
      </rPr>
      <t xml:space="preserve"> 65 orders × Rs 541 = Rs 35,165 revenue</t>
    </r>
  </si>
  <si>
    <r>
      <t>Strong Month:</t>
    </r>
    <r>
      <rPr>
        <sz val="11"/>
        <color theme="1"/>
        <rFont val="Calibri"/>
        <family val="2"/>
        <scheme val="minor"/>
      </rPr>
      <t xml:space="preserve"> 85 orders × Rs 600 = Rs 51,000 revenue</t>
    </r>
  </si>
  <si>
    <t>My Part E forecast showed around 15–20 orders per week, which is about 65–86 orders per month.</t>
  </si>
  <si>
    <t>The Strong Month scenario is also within the forecast range and is close to the higher end.</t>
  </si>
  <si>
    <t>The Normal Month scenario with 65 orders is at the lower end of this forecast, so it is a realistic scenario based on my forecast.</t>
  </si>
  <si>
    <t>The Weak Month scenario has only 50 orders, which is below the forecast range.</t>
  </si>
  <si>
    <t>Therefore, the Normal Month scenario seems to be the most likely outcome.</t>
  </si>
  <si>
    <t>The lower usage of connectIPs payment method may be related to customer trust, accessibility, or payment habits, but the available data is not enough to determine the exact reason.</t>
  </si>
  <si>
    <t>Strongest Month: October 2025 was the strongest month overall, generating Rs 50,629 in total revenue.</t>
  </si>
  <si>
    <t>Highest Revenue City: Kathmandu generated the highest total revenue, with Rs 43,286.</t>
  </si>
  <si>
    <t>Lowest Revenue City: Bhaktapur with Rs 8,909.</t>
  </si>
  <si>
    <t>All</t>
  </si>
  <si>
    <t>CONCLUSION</t>
  </si>
  <si>
    <t>KhanaChahiyo generated Rs 176,407 in revenue, exceeding the Rs 150,000 target, while the cancellation rate remained low at 1%.</t>
  </si>
  <si>
    <t>However, the average customer rating was 4.09, below the 4.3 target, suggesting customer experience needs improvement.</t>
  </si>
  <si>
    <t>Kathmandu performed best with Rs 43,286 in revenue, while Bhaktapur was the weakest at Rs 8,909.</t>
  </si>
  <si>
    <t>October 2025 was the strongest month, generating Rs 50,629, likely due to higher festival-season demand.</t>
  </si>
  <si>
    <t>The forecast indicates around 15–20 orders per week, suggesting relatively stable demand ahead.</t>
  </si>
  <si>
    <t>Management should improve customer service and focus on increasing sales in lower-performing cities while maintaining the low cancellation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</si>
</sst>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dd\-mmm\-yyyy"/>
    <numFmt numFmtId="165" formatCode="_-[$₹-861]\ * #,##0.00_-;\-[$₹-861]\ * #,##0.00_-;_-[$₹-861]\ * &quot;-&quot;??_-;_-@_-"/>
    <numFmt numFmtId="166" formatCode="[$-409]d\-mmm;@"/>
    <numFmt numFmtId="167" formatCode="[$-409]dd\-mmm\-yy;@"/>
  </numFmts>
  <fonts count="20" x14ac:knownFonts="1">
    <font>
      <sz val="11"/>
      <color theme="1"/>
      <name val="Calibri"/>
      <family val="2"/>
      <scheme val="minor"/>
    </font>
    <font>
      <b/>
      <sz val="20"/>
      <color rgb="FFFFFFFF"/>
      <name val="Arial"/>
    </font>
    <font>
      <i/>
      <sz val="12"/>
      <color rgb="FFFFFFFF"/>
      <name val="Arial"/>
    </font>
    <font>
      <i/>
      <sz val="11"/>
      <color rgb="FF333333"/>
      <name val="Arial"/>
    </font>
    <font>
      <b/>
      <sz val="10.5"/>
      <color rgb="FF1F3864"/>
      <name val="Arial"/>
    </font>
    <font>
      <sz val="10"/>
      <color rgb="FF555555"/>
      <name val="Arial"/>
    </font>
    <font>
      <b/>
      <sz val="13"/>
      <color rgb="FFFFFFFF"/>
      <name val="Arial"/>
    </font>
    <font>
      <sz val="10.5"/>
      <color rgb="FF000000"/>
      <name val="Arial"/>
    </font>
    <font>
      <i/>
      <sz val="9.5"/>
      <color rgb="FF777777"/>
      <name val="Arial"/>
    </font>
    <font>
      <b/>
      <sz val="10.5"/>
      <color rgb="FFFFFFFF"/>
      <name val="Arial"/>
    </font>
    <font>
      <sz val="10"/>
      <name val="Arial"/>
    </font>
    <font>
      <sz val="11"/>
      <color rgb="FFFF0000"/>
      <name val="Calibri"/>
      <family val="2"/>
      <scheme val="minor"/>
    </font>
    <font>
      <sz val="8"/>
      <name val="Calibri"/>
      <family val="2"/>
      <scheme val="minor"/>
    </font>
    <font>
      <b/>
      <sz val="10.5"/>
      <color rgb="FFFFFFFF"/>
      <name val="Arial"/>
      <family val="2"/>
    </font>
    <font>
      <sz val="10.5"/>
      <color rgb="FF000000"/>
      <name val="Arial"/>
      <family val="2"/>
    </font>
    <font>
      <sz val="10"/>
      <name val="Arial"/>
      <family val="2"/>
    </font>
    <font>
      <sz val="11"/>
      <color theme="1"/>
      <name val="Calibri"/>
      <family val="2"/>
      <scheme val="minor"/>
    </font>
    <font>
      <b/>
      <sz val="11"/>
      <color theme="1"/>
      <name val="Calibri"/>
      <family val="2"/>
      <scheme val="minor"/>
    </font>
    <font>
      <b/>
      <i/>
      <sz val="11"/>
      <color theme="1"/>
      <name val="Calibri"/>
      <family val="2"/>
      <scheme val="minor"/>
    </font>
    <font>
      <b/>
      <u/>
      <sz val="11"/>
      <color theme="1"/>
      <name val="Calibri"/>
      <family val="2"/>
      <scheme val="minor"/>
    </font>
  </fonts>
  <fills count="11">
    <fill>
      <patternFill patternType="none"/>
    </fill>
    <fill>
      <patternFill patternType="gray125"/>
    </fill>
    <fill>
      <patternFill patternType="solid">
        <fgColor rgb="FF1F3864"/>
      </patternFill>
    </fill>
    <fill>
      <patternFill patternType="solid">
        <fgColor rgb="FFDCEEEE"/>
      </patternFill>
    </fill>
    <fill>
      <patternFill patternType="solid">
        <fgColor rgb="FF0E7C7B"/>
      </patternFill>
    </fill>
    <fill>
      <patternFill patternType="solid">
        <fgColor rgb="FFF2F2F2"/>
      </patternFill>
    </fill>
    <fill>
      <patternFill patternType="solid">
        <fgColor rgb="FF1F3864"/>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8" tint="-0.499984740745262"/>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6" fillId="0" borderId="0" applyFont="0" applyFill="0" applyBorder="0" applyAlignment="0" applyProtection="0"/>
    <xf numFmtId="9" fontId="16" fillId="0" borderId="0" applyFont="0" applyFill="0" applyBorder="0" applyAlignment="0" applyProtection="0"/>
  </cellStyleXfs>
  <cellXfs count="48">
    <xf numFmtId="0" fontId="0" fillId="0" borderId="0" xfId="0"/>
    <xf numFmtId="0" fontId="0" fillId="2" borderId="0" xfId="0"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0" fillId="3" borderId="0" xfId="0" applyFill="1"/>
    <xf numFmtId="0" fontId="4" fillId="3" borderId="0" xfId="0" applyFont="1" applyFill="1" applyAlignment="1">
      <alignment horizontal="left" vertical="top" wrapText="1"/>
    </xf>
    <xf numFmtId="0" fontId="5" fillId="0" borderId="0" xfId="0" applyFont="1" applyAlignment="1">
      <alignment horizontal="left" vertical="top" wrapText="1"/>
    </xf>
    <xf numFmtId="0" fontId="0" fillId="4" borderId="0" xfId="0" applyFill="1"/>
    <xf numFmtId="0" fontId="6" fillId="4" borderId="0" xfId="0" applyFont="1" applyFill="1" applyAlignment="1">
      <alignment horizontal="left" vertical="top" wrapText="1"/>
    </xf>
    <xf numFmtId="0" fontId="4" fillId="5" borderId="0" xfId="0" applyFont="1" applyFill="1" applyAlignment="1">
      <alignment horizontal="center" vertical="top"/>
    </xf>
    <xf numFmtId="0" fontId="7" fillId="5" borderId="0" xfId="0" applyFont="1" applyFill="1" applyAlignment="1">
      <alignment vertical="top" wrapText="1"/>
    </xf>
    <xf numFmtId="0" fontId="8" fillId="0" borderId="0" xfId="0" applyFont="1" applyAlignment="1">
      <alignment horizontal="left" vertical="top" wrapText="1"/>
    </xf>
    <xf numFmtId="0" fontId="9" fillId="2" borderId="0" xfId="0" applyFont="1" applyFill="1" applyAlignment="1">
      <alignment horizontal="center" vertical="center" wrapText="1"/>
    </xf>
    <xf numFmtId="0" fontId="10" fillId="0" borderId="0" xfId="0" applyFont="1"/>
    <xf numFmtId="164" fontId="10" fillId="0" borderId="0" xfId="0" applyNumberFormat="1" applyFont="1"/>
    <xf numFmtId="1" fontId="10" fillId="0" borderId="0" xfId="0" applyNumberFormat="1" applyFont="1"/>
    <xf numFmtId="0" fontId="9" fillId="4" borderId="0" xfId="0" applyFont="1" applyFill="1" applyAlignment="1">
      <alignment horizontal="center" vertical="center" wrapText="1"/>
    </xf>
    <xf numFmtId="3" fontId="10" fillId="0" borderId="0" xfId="0" applyNumberFormat="1" applyFont="1"/>
    <xf numFmtId="0" fontId="8" fillId="0" borderId="0" xfId="0" applyFont="1"/>
    <xf numFmtId="0" fontId="13" fillId="2" borderId="0" xfId="0" applyFont="1" applyFill="1" applyAlignment="1">
      <alignment horizontal="center" vertical="center" wrapText="1"/>
    </xf>
    <xf numFmtId="0" fontId="14" fillId="5" borderId="0" xfId="0" applyFont="1" applyFill="1" applyAlignment="1">
      <alignment vertical="top" wrapText="1"/>
    </xf>
    <xf numFmtId="0" fontId="15" fillId="0" borderId="0" xfId="0" applyFont="1"/>
    <xf numFmtId="0" fontId="13" fillId="6" borderId="0" xfId="0" applyFont="1" applyFill="1" applyAlignment="1">
      <alignment horizontal="center" vertical="center" wrapText="1"/>
    </xf>
    <xf numFmtId="164" fontId="0" fillId="0" borderId="0" xfId="0" applyNumberFormat="1"/>
    <xf numFmtId="1" fontId="0" fillId="0" borderId="0" xfId="0" applyNumberFormat="1"/>
    <xf numFmtId="164" fontId="10" fillId="0" borderId="0" xfId="0" applyNumberFormat="1" applyFont="1" applyAlignment="1">
      <alignment horizontal="left"/>
    </xf>
    <xf numFmtId="0" fontId="10" fillId="0" borderId="0" xfId="0" applyFont="1" applyAlignment="1">
      <alignment horizontal="left"/>
    </xf>
    <xf numFmtId="1" fontId="10" fillId="0" borderId="0" xfId="0" applyNumberFormat="1" applyFont="1" applyAlignment="1">
      <alignment horizontal="left"/>
    </xf>
    <xf numFmtId="0" fontId="15" fillId="0" borderId="0" xfId="0" applyFont="1" applyAlignment="1">
      <alignment horizontal="left"/>
    </xf>
    <xf numFmtId="1" fontId="15" fillId="0" borderId="0" xfId="0" applyNumberFormat="1" applyFont="1" applyAlignment="1">
      <alignment horizontal="left"/>
    </xf>
    <xf numFmtId="0" fontId="0" fillId="7" borderId="0" xfId="0" applyFill="1"/>
    <xf numFmtId="0" fontId="0" fillId="8" borderId="0" xfId="0" applyFill="1"/>
    <xf numFmtId="0" fontId="11" fillId="8" borderId="0" xfId="0" applyFont="1" applyFill="1"/>
    <xf numFmtId="0" fontId="0" fillId="0" borderId="0" xfId="0" pivotButton="1"/>
    <xf numFmtId="0" fontId="0" fillId="0" borderId="0" xfId="0" applyAlignment="1">
      <alignment horizontal="left"/>
    </xf>
    <xf numFmtId="9" fontId="0" fillId="0" borderId="0" xfId="2" applyFont="1"/>
    <xf numFmtId="165" fontId="0" fillId="0" borderId="0" xfId="1" applyNumberFormat="1" applyFont="1"/>
    <xf numFmtId="0" fontId="0" fillId="9" borderId="0" xfId="0" applyFill="1"/>
    <xf numFmtId="0" fontId="0" fillId="0" borderId="1" xfId="0" applyBorder="1"/>
    <xf numFmtId="0" fontId="0" fillId="10" borderId="1" xfId="0" applyFill="1" applyBorder="1"/>
    <xf numFmtId="0" fontId="17" fillId="0" borderId="0" xfId="0" applyFont="1"/>
    <xf numFmtId="166" fontId="0" fillId="0" borderId="0" xfId="0" applyNumberFormat="1"/>
    <xf numFmtId="167" fontId="0" fillId="0" borderId="0" xfId="0" applyNumberFormat="1"/>
    <xf numFmtId="2" fontId="0" fillId="0" borderId="0" xfId="0" applyNumberFormat="1"/>
    <xf numFmtId="0" fontId="18" fillId="0" borderId="0" xfId="0" applyFont="1"/>
    <xf numFmtId="0" fontId="19" fillId="0" borderId="0" xfId="0" applyFont="1"/>
  </cellXfs>
  <cellStyles count="3">
    <cellStyle name="Currency" xfId="1" builtinId="4"/>
    <cellStyle name="Normal" xfId="0" builtinId="0"/>
    <cellStyle name="Percent" xfId="2" builtinId="5"/>
  </cellStyles>
  <dxfs count="4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67" formatCode="[$-409]dd\-mmm\-yy;@"/>
    </dxf>
    <dxf>
      <numFmt numFmtId="2" formatCode="0.00"/>
    </dxf>
    <dxf>
      <numFmt numFmtId="2" formatCode="0.00"/>
    </dxf>
    <dxf>
      <numFmt numFmtId="167" formatCode="[$-409]dd\-mmm\-yy;@"/>
    </dxf>
    <dxf>
      <numFmt numFmtId="0" formatCode="General"/>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dd\-mmm\-yyyy"/>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dd\-mmm\-yyyy"/>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dd\-mmm\-yyyy"/>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font>
        <b/>
        <i val="0"/>
        <strike val="0"/>
        <condense val="0"/>
        <extend val="0"/>
        <outline val="0"/>
        <shadow val="0"/>
        <u val="none"/>
        <vertAlign val="baseline"/>
        <sz val="10.5"/>
        <color rgb="FFFFFFFF"/>
        <name val="Arial"/>
        <scheme val="none"/>
      </font>
      <fill>
        <patternFill patternType="solid">
          <fgColor indexed="64"/>
          <bgColor rgb="FF1F3864"/>
        </patternFill>
      </fill>
      <alignment horizontal="center" vertical="center" textRotation="0" wrapText="1" indent="0" justifyLastLine="0" shrinkToFit="0" readingOrder="0"/>
    </dxf>
    <dxf>
      <numFmt numFmtId="165" formatCode="_-[$₹-861]\ * #,##0.00_-;\-[$₹-861]\ * #,##0.00_-;_-[$₹-861]\ *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[Aanchal_Adhikari_KhanaChahiyo_Student_Project.xlsx]Dashboard!PivotTable3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Payment Methods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4621685592236E-2"/>
          <c:y val="0.13324709545747523"/>
          <c:w val="0.78143900490699536"/>
          <c:h val="0.71592612273159106"/>
        </c:manualLayout>
      </c:layout>
      <c:barChart>
        <c:barDir val="col"/>
        <c:grouping val="clustered"/>
        <c:varyColors val="0"/>
        <c:ser>
          <c:idx val="0"/>
          <c:order val="0"/>
          <c:tx>
            <c:strRef>
              <c:f>Dashboard!$D$35</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Dashboard!$C$36:$C$41</c:f>
              <c:strCache>
                <c:ptCount val="5"/>
                <c:pt idx="0">
                  <c:v>Cash on Delivery</c:v>
                </c:pt>
                <c:pt idx="1">
                  <c:v>ConnectIPS</c:v>
                </c:pt>
                <c:pt idx="2">
                  <c:v>eSewa</c:v>
                </c:pt>
                <c:pt idx="3">
                  <c:v>IME Pay</c:v>
                </c:pt>
                <c:pt idx="4">
                  <c:v>Khalti</c:v>
                </c:pt>
              </c:strCache>
            </c:strRef>
          </c:cat>
          <c:val>
            <c:numRef>
              <c:f>Dashboard!$D$36:$D$41</c:f>
              <c:numCache>
                <c:formatCode>General</c:formatCode>
                <c:ptCount val="5"/>
                <c:pt idx="0">
                  <c:v>70</c:v>
                </c:pt>
                <c:pt idx="1">
                  <c:v>17</c:v>
                </c:pt>
                <c:pt idx="2">
                  <c:v>104</c:v>
                </c:pt>
                <c:pt idx="3">
                  <c:v>42</c:v>
                </c:pt>
                <c:pt idx="4">
                  <c:v>93</c:v>
                </c:pt>
              </c:numCache>
            </c:numRef>
          </c:val>
          <c:extLst>
            <c:ext xmlns:c16="http://schemas.microsoft.com/office/drawing/2014/chart" uri="{C3380CC4-5D6E-409C-BE32-E72D297353CC}">
              <c16:uniqueId val="{00000000-4C8B-44D8-865A-397E1DC095D6}"/>
            </c:ext>
          </c:extLst>
        </c:ser>
        <c:dLbls>
          <c:dLblPos val="outEnd"/>
          <c:showLegendKey val="0"/>
          <c:showVal val="1"/>
          <c:showCatName val="0"/>
          <c:showSerName val="0"/>
          <c:showPercent val="0"/>
          <c:showBubbleSize val="0"/>
        </c:dLbls>
        <c:gapWidth val="219"/>
        <c:overlap val="-27"/>
        <c:axId val="560278856"/>
        <c:axId val="560280296"/>
      </c:barChart>
      <c:catAx>
        <c:axId val="560278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280296"/>
        <c:crosses val="autoZero"/>
        <c:auto val="1"/>
        <c:lblAlgn val="ctr"/>
        <c:lblOffset val="100"/>
        <c:noMultiLvlLbl val="0"/>
      </c:catAx>
      <c:valAx>
        <c:axId val="560280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278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[Aanchal_Adhikari_KhanaChahiyo_Student_Project.xlsx]Dashboard!PivotTable5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89441229484869"/>
          <c:y val="0.26328484981044037"/>
          <c:w val="0.80703858742054835"/>
          <c:h val="0.41377150772820065"/>
        </c:manualLayout>
      </c:layout>
      <c:barChart>
        <c:barDir val="col"/>
        <c:grouping val="clustered"/>
        <c:varyColors val="0"/>
        <c:ser>
          <c:idx val="0"/>
          <c:order val="0"/>
          <c:tx>
            <c:strRef>
              <c:f>Dashboard!$E$102</c:f>
              <c:strCache>
                <c:ptCount val="1"/>
                <c:pt idx="0">
                  <c:v>Total</c:v>
                </c:pt>
              </c:strCache>
            </c:strRef>
          </c:tx>
          <c:spPr>
            <a:solidFill>
              <a:schemeClr val="accent1"/>
            </a:solidFill>
            <a:ln>
              <a:noFill/>
            </a:ln>
            <a:effectLst/>
          </c:spPr>
          <c:invertIfNegative val="0"/>
          <c:cat>
            <c:strRef>
              <c:f>Dashboard!$D$103:$D$110</c:f>
              <c:strCache>
                <c:ptCount val="8"/>
                <c:pt idx="0">
                  <c:v>Bhaktapur</c:v>
                </c:pt>
                <c:pt idx="1">
                  <c:v>Biratnagar</c:v>
                </c:pt>
                <c:pt idx="2">
                  <c:v>Butwal</c:v>
                </c:pt>
                <c:pt idx="3">
                  <c:v>Chitwan</c:v>
                </c:pt>
                <c:pt idx="4">
                  <c:v>Dharan</c:v>
                </c:pt>
                <c:pt idx="5">
                  <c:v>Kathmandu</c:v>
                </c:pt>
                <c:pt idx="6">
                  <c:v>Lalitpur</c:v>
                </c:pt>
                <c:pt idx="7">
                  <c:v>Pokhara</c:v>
                </c:pt>
              </c:strCache>
            </c:strRef>
          </c:cat>
          <c:val>
            <c:numRef>
              <c:f>Dashboard!$E$103:$E$110</c:f>
              <c:numCache>
                <c:formatCode>0</c:formatCode>
                <c:ptCount val="8"/>
                <c:pt idx="0">
                  <c:v>28.19047619047619</c:v>
                </c:pt>
                <c:pt idx="1">
                  <c:v>50.5</c:v>
                </c:pt>
                <c:pt idx="2">
                  <c:v>41.903225806451616</c:v>
                </c:pt>
                <c:pt idx="3">
                  <c:v>49.794117647058826</c:v>
                </c:pt>
                <c:pt idx="4">
                  <c:v>48.791666666666664</c:v>
                </c:pt>
                <c:pt idx="5">
                  <c:v>34.674698795180724</c:v>
                </c:pt>
                <c:pt idx="6">
                  <c:v>28.170212765957448</c:v>
                </c:pt>
                <c:pt idx="7">
                  <c:v>50.760869565217391</c:v>
                </c:pt>
              </c:numCache>
            </c:numRef>
          </c:val>
          <c:extLst>
            <c:ext xmlns:c16="http://schemas.microsoft.com/office/drawing/2014/chart" uri="{C3380CC4-5D6E-409C-BE32-E72D297353CC}">
              <c16:uniqueId val="{00000000-520B-4C9C-92D3-D770C63CB342}"/>
            </c:ext>
          </c:extLst>
        </c:ser>
        <c:dLbls>
          <c:showLegendKey val="0"/>
          <c:showVal val="0"/>
          <c:showCatName val="0"/>
          <c:showSerName val="0"/>
          <c:showPercent val="0"/>
          <c:showBubbleSize val="0"/>
        </c:dLbls>
        <c:gapWidth val="219"/>
        <c:overlap val="-27"/>
        <c:axId val="540579720"/>
        <c:axId val="540576840"/>
      </c:barChart>
      <c:catAx>
        <c:axId val="540579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576840"/>
        <c:crosses val="autoZero"/>
        <c:auto val="1"/>
        <c:lblAlgn val="ctr"/>
        <c:lblOffset val="100"/>
        <c:noMultiLvlLbl val="0"/>
      </c:catAx>
      <c:valAx>
        <c:axId val="540576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579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[Aanchal_Adhikari_KhanaChahiyo_Student_Project.xlsx]Dashboard!PivotTable2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Dashboard!$C$102</c:f>
              <c:strCache>
                <c:ptCount val="1"/>
                <c:pt idx="0">
                  <c:v>Total</c:v>
                </c:pt>
              </c:strCache>
            </c:strRef>
          </c:tx>
          <c:spPr>
            <a:solidFill>
              <a:schemeClr val="accent1"/>
            </a:solidFill>
            <a:ln>
              <a:noFill/>
            </a:ln>
            <a:effectLst/>
          </c:spPr>
          <c:invertIfNegative val="0"/>
          <c:cat>
            <c:strRef>
              <c:f>Dashboard!$B$103:$B$110</c:f>
              <c:strCache>
                <c:ptCount val="8"/>
                <c:pt idx="0">
                  <c:v>Bhaktapur</c:v>
                </c:pt>
                <c:pt idx="1">
                  <c:v>Biratnagar</c:v>
                </c:pt>
                <c:pt idx="2">
                  <c:v>Butwal</c:v>
                </c:pt>
                <c:pt idx="3">
                  <c:v>Chitwan</c:v>
                </c:pt>
                <c:pt idx="4">
                  <c:v>Dharan</c:v>
                </c:pt>
                <c:pt idx="5">
                  <c:v>Kathmandu</c:v>
                </c:pt>
                <c:pt idx="6">
                  <c:v>Lalitpur</c:v>
                </c:pt>
                <c:pt idx="7">
                  <c:v>Pokhara</c:v>
                </c:pt>
              </c:strCache>
            </c:strRef>
          </c:cat>
          <c:val>
            <c:numRef>
              <c:f>Dashboard!$C$103:$C$110</c:f>
              <c:numCache>
                <c:formatCode>General</c:formatCode>
                <c:ptCount val="8"/>
                <c:pt idx="0">
                  <c:v>4.333333333333333</c:v>
                </c:pt>
                <c:pt idx="1">
                  <c:v>4.2666666666666666</c:v>
                </c:pt>
                <c:pt idx="2">
                  <c:v>2.8928571428571428</c:v>
                </c:pt>
                <c:pt idx="3">
                  <c:v>3.8</c:v>
                </c:pt>
                <c:pt idx="4">
                  <c:v>3.8333333333333335</c:v>
                </c:pt>
                <c:pt idx="5">
                  <c:v>4.3157894736842106</c:v>
                </c:pt>
                <c:pt idx="6">
                  <c:v>4.2380952380952381</c:v>
                </c:pt>
                <c:pt idx="7">
                  <c:v>4.5277777777777777</c:v>
                </c:pt>
              </c:numCache>
            </c:numRef>
          </c:val>
          <c:extLst>
            <c:ext xmlns:c16="http://schemas.microsoft.com/office/drawing/2014/chart" uri="{C3380CC4-5D6E-409C-BE32-E72D297353CC}">
              <c16:uniqueId val="{00000000-2E2A-4DB0-A59A-576AC2636E32}"/>
            </c:ext>
          </c:extLst>
        </c:ser>
        <c:dLbls>
          <c:showLegendKey val="0"/>
          <c:showVal val="0"/>
          <c:showCatName val="0"/>
          <c:showSerName val="0"/>
          <c:showPercent val="0"/>
          <c:showBubbleSize val="0"/>
        </c:dLbls>
        <c:gapWidth val="219"/>
        <c:overlap val="-27"/>
        <c:axId val="428368024"/>
        <c:axId val="428367304"/>
      </c:barChart>
      <c:catAx>
        <c:axId val="428368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367304"/>
        <c:crosses val="autoZero"/>
        <c:auto val="1"/>
        <c:lblAlgn val="ctr"/>
        <c:lblOffset val="100"/>
        <c:noMultiLvlLbl val="0"/>
      </c:catAx>
      <c:valAx>
        <c:axId val="428367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368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[Aanchal_Adhikari_KhanaChahiyo_Student_Project.xlsx]Dashboard!PivotTable7</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54830488242268E-2"/>
          <c:y val="0.19342373869932925"/>
          <c:w val="0.62515506297759671"/>
          <c:h val="0.53455854476523768"/>
        </c:manualLayout>
      </c:layout>
      <c:barChart>
        <c:barDir val="col"/>
        <c:grouping val="clustered"/>
        <c:varyColors val="0"/>
        <c:ser>
          <c:idx val="0"/>
          <c:order val="0"/>
          <c:tx>
            <c:strRef>
              <c:f>Dashboard!$D$143</c:f>
              <c:strCache>
                <c:ptCount val="1"/>
                <c:pt idx="0">
                  <c:v>Count of OrderID</c:v>
                </c:pt>
              </c:strCache>
            </c:strRef>
          </c:tx>
          <c:spPr>
            <a:solidFill>
              <a:schemeClr val="accent1"/>
            </a:solidFill>
            <a:ln>
              <a:noFill/>
            </a:ln>
            <a:effectLst/>
          </c:spPr>
          <c:invertIfNegative val="0"/>
          <c:cat>
            <c:strRef>
              <c:f>Dashboard!$C$144:$C$152</c:f>
              <c:strCache>
                <c:ptCount val="8"/>
                <c:pt idx="0">
                  <c:v>Bhaktapur</c:v>
                </c:pt>
                <c:pt idx="1">
                  <c:v>Biratnagar</c:v>
                </c:pt>
                <c:pt idx="2">
                  <c:v>Butwal</c:v>
                </c:pt>
                <c:pt idx="3">
                  <c:v>Chitwan</c:v>
                </c:pt>
                <c:pt idx="4">
                  <c:v>Dharan</c:v>
                </c:pt>
                <c:pt idx="5">
                  <c:v>Kathmandu</c:v>
                </c:pt>
                <c:pt idx="6">
                  <c:v>Lalitpur</c:v>
                </c:pt>
                <c:pt idx="7">
                  <c:v>Pokhara</c:v>
                </c:pt>
              </c:strCache>
            </c:strRef>
          </c:cat>
          <c:val>
            <c:numRef>
              <c:f>Dashboard!$D$144:$D$152</c:f>
              <c:numCache>
                <c:formatCode>General</c:formatCode>
                <c:ptCount val="8"/>
                <c:pt idx="0">
                  <c:v>21</c:v>
                </c:pt>
                <c:pt idx="1">
                  <c:v>40</c:v>
                </c:pt>
                <c:pt idx="2">
                  <c:v>31</c:v>
                </c:pt>
                <c:pt idx="3">
                  <c:v>34</c:v>
                </c:pt>
                <c:pt idx="4">
                  <c:v>24</c:v>
                </c:pt>
                <c:pt idx="5">
                  <c:v>83</c:v>
                </c:pt>
                <c:pt idx="6">
                  <c:v>47</c:v>
                </c:pt>
                <c:pt idx="7">
                  <c:v>46</c:v>
                </c:pt>
              </c:numCache>
            </c:numRef>
          </c:val>
          <c:extLst>
            <c:ext xmlns:c16="http://schemas.microsoft.com/office/drawing/2014/chart" uri="{C3380CC4-5D6E-409C-BE32-E72D297353CC}">
              <c16:uniqueId val="{00000000-F277-4D6C-BACB-6C2FA662D622}"/>
            </c:ext>
          </c:extLst>
        </c:ser>
        <c:dLbls>
          <c:showLegendKey val="0"/>
          <c:showVal val="0"/>
          <c:showCatName val="0"/>
          <c:showSerName val="0"/>
          <c:showPercent val="0"/>
          <c:showBubbleSize val="0"/>
        </c:dLbls>
        <c:gapWidth val="150"/>
        <c:axId val="543691200"/>
        <c:axId val="543696600"/>
      </c:barChart>
      <c:lineChart>
        <c:grouping val="standard"/>
        <c:varyColors val="0"/>
        <c:ser>
          <c:idx val="1"/>
          <c:order val="1"/>
          <c:tx>
            <c:strRef>
              <c:f>Dashboard!$E$143</c:f>
              <c:strCache>
                <c:ptCount val="1"/>
                <c:pt idx="0">
                  <c:v>Average of DeliveryTimeTaken_Min</c:v>
                </c:pt>
              </c:strCache>
            </c:strRef>
          </c:tx>
          <c:spPr>
            <a:ln w="28575" cap="rnd">
              <a:solidFill>
                <a:schemeClr val="accent2"/>
              </a:solidFill>
              <a:round/>
            </a:ln>
            <a:effectLst/>
          </c:spPr>
          <c:marker>
            <c:symbol val="none"/>
          </c:marker>
          <c:cat>
            <c:strRef>
              <c:f>Dashboard!$C$144:$C$152</c:f>
              <c:strCache>
                <c:ptCount val="8"/>
                <c:pt idx="0">
                  <c:v>Bhaktapur</c:v>
                </c:pt>
                <c:pt idx="1">
                  <c:v>Biratnagar</c:v>
                </c:pt>
                <c:pt idx="2">
                  <c:v>Butwal</c:v>
                </c:pt>
                <c:pt idx="3">
                  <c:v>Chitwan</c:v>
                </c:pt>
                <c:pt idx="4">
                  <c:v>Dharan</c:v>
                </c:pt>
                <c:pt idx="5">
                  <c:v>Kathmandu</c:v>
                </c:pt>
                <c:pt idx="6">
                  <c:v>Lalitpur</c:v>
                </c:pt>
                <c:pt idx="7">
                  <c:v>Pokhara</c:v>
                </c:pt>
              </c:strCache>
            </c:strRef>
          </c:cat>
          <c:val>
            <c:numRef>
              <c:f>Dashboard!$E$144:$E$152</c:f>
              <c:numCache>
                <c:formatCode>0</c:formatCode>
                <c:ptCount val="8"/>
                <c:pt idx="0">
                  <c:v>28.19047619047619</c:v>
                </c:pt>
                <c:pt idx="1">
                  <c:v>50.5</c:v>
                </c:pt>
                <c:pt idx="2">
                  <c:v>41.903225806451616</c:v>
                </c:pt>
                <c:pt idx="3">
                  <c:v>49.794117647058826</c:v>
                </c:pt>
                <c:pt idx="4">
                  <c:v>48.791666666666664</c:v>
                </c:pt>
                <c:pt idx="5">
                  <c:v>34.674698795180724</c:v>
                </c:pt>
                <c:pt idx="6">
                  <c:v>28.170212765957448</c:v>
                </c:pt>
                <c:pt idx="7">
                  <c:v>50.760869565217391</c:v>
                </c:pt>
              </c:numCache>
            </c:numRef>
          </c:val>
          <c:smooth val="0"/>
          <c:extLst>
            <c:ext xmlns:c16="http://schemas.microsoft.com/office/drawing/2014/chart" uri="{C3380CC4-5D6E-409C-BE32-E72D297353CC}">
              <c16:uniqueId val="{00000001-F277-4D6C-BACB-6C2FA662D622}"/>
            </c:ext>
          </c:extLst>
        </c:ser>
        <c:dLbls>
          <c:showLegendKey val="0"/>
          <c:showVal val="0"/>
          <c:showCatName val="0"/>
          <c:showSerName val="0"/>
          <c:showPercent val="0"/>
          <c:showBubbleSize val="0"/>
        </c:dLbls>
        <c:marker val="1"/>
        <c:smooth val="0"/>
        <c:axId val="543691200"/>
        <c:axId val="543696600"/>
      </c:lineChart>
      <c:catAx>
        <c:axId val="54369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96600"/>
        <c:crosses val="autoZero"/>
        <c:auto val="1"/>
        <c:lblAlgn val="ctr"/>
        <c:lblOffset val="100"/>
        <c:noMultiLvlLbl val="0"/>
      </c:catAx>
      <c:valAx>
        <c:axId val="54369660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9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690117981316321E-2"/>
          <c:y val="2.9517993646741413E-2"/>
          <c:w val="0.94620329008621296"/>
          <c:h val="0.71721567772059946"/>
        </c:manualLayout>
      </c:layout>
      <c:lineChart>
        <c:grouping val="standard"/>
        <c:varyColors val="0"/>
        <c:ser>
          <c:idx val="0"/>
          <c:order val="0"/>
          <c:tx>
            <c:strRef>
              <c:f>ForecastSheet!$B$1</c:f>
              <c:strCache>
                <c:ptCount val="1"/>
                <c:pt idx="0">
                  <c:v>Total Orders</c:v>
                </c:pt>
              </c:strCache>
            </c:strRef>
          </c:tx>
          <c:spPr>
            <a:ln w="28575" cap="rnd">
              <a:solidFill>
                <a:schemeClr val="accent1"/>
              </a:solidFill>
              <a:round/>
            </a:ln>
            <a:effectLst/>
          </c:spPr>
          <c:marker>
            <c:symbol val="none"/>
          </c:marker>
          <c:val>
            <c:numRef>
              <c:f>ForecastSheet!$B$2:$B$41</c:f>
              <c:numCache>
                <c:formatCode>General</c:formatCode>
                <c:ptCount val="40"/>
                <c:pt idx="0">
                  <c:v>7</c:v>
                </c:pt>
                <c:pt idx="1">
                  <c:v>11</c:v>
                </c:pt>
                <c:pt idx="2">
                  <c:v>9</c:v>
                </c:pt>
                <c:pt idx="3">
                  <c:v>8</c:v>
                </c:pt>
                <c:pt idx="4">
                  <c:v>7</c:v>
                </c:pt>
                <c:pt idx="5">
                  <c:v>11</c:v>
                </c:pt>
                <c:pt idx="6">
                  <c:v>9</c:v>
                </c:pt>
                <c:pt idx="7">
                  <c:v>5</c:v>
                </c:pt>
                <c:pt idx="8">
                  <c:v>10</c:v>
                </c:pt>
                <c:pt idx="9">
                  <c:v>2</c:v>
                </c:pt>
                <c:pt idx="10">
                  <c:v>8</c:v>
                </c:pt>
                <c:pt idx="11">
                  <c:v>28</c:v>
                </c:pt>
                <c:pt idx="12">
                  <c:v>40</c:v>
                </c:pt>
                <c:pt idx="13">
                  <c:v>29</c:v>
                </c:pt>
                <c:pt idx="14">
                  <c:v>13</c:v>
                </c:pt>
                <c:pt idx="15">
                  <c:v>9</c:v>
                </c:pt>
                <c:pt idx="16">
                  <c:v>3</c:v>
                </c:pt>
                <c:pt idx="17">
                  <c:v>8</c:v>
                </c:pt>
                <c:pt idx="18">
                  <c:v>12</c:v>
                </c:pt>
                <c:pt idx="19">
                  <c:v>11</c:v>
                </c:pt>
                <c:pt idx="20">
                  <c:v>16</c:v>
                </c:pt>
                <c:pt idx="21">
                  <c:v>10</c:v>
                </c:pt>
                <c:pt idx="22">
                  <c:v>16</c:v>
                </c:pt>
                <c:pt idx="23">
                  <c:v>14</c:v>
                </c:pt>
                <c:pt idx="24">
                  <c:v>7</c:v>
                </c:pt>
                <c:pt idx="25">
                  <c:v>18</c:v>
                </c:pt>
              </c:numCache>
            </c:numRef>
          </c:val>
          <c:smooth val="0"/>
          <c:extLst>
            <c:ext xmlns:c16="http://schemas.microsoft.com/office/drawing/2014/chart" uri="{C3380CC4-5D6E-409C-BE32-E72D297353CC}">
              <c16:uniqueId val="{00000000-6F30-46F5-97F4-4887EF92A9FA}"/>
            </c:ext>
          </c:extLst>
        </c:ser>
        <c:ser>
          <c:idx val="1"/>
          <c:order val="1"/>
          <c:tx>
            <c:strRef>
              <c:f>ForecastSheet!$C$1</c:f>
              <c:strCache>
                <c:ptCount val="1"/>
                <c:pt idx="0">
                  <c:v>Forecast(Total Orders)</c:v>
                </c:pt>
              </c:strCache>
            </c:strRef>
          </c:tx>
          <c:spPr>
            <a:ln w="25400" cap="rnd">
              <a:solidFill>
                <a:schemeClr val="accent2"/>
              </a:solidFill>
              <a:round/>
            </a:ln>
            <a:effectLst/>
          </c:spPr>
          <c:marker>
            <c:symbol val="none"/>
          </c:marker>
          <c:cat>
            <c:numRef>
              <c:f>ForecastSheet!$A$2:$A$41</c:f>
              <c:numCache>
                <c:formatCode>[$-409]dd\-mmm\-yy;@</c:formatCode>
                <c:ptCount val="40"/>
                <c:pt idx="0">
                  <c:v>45871</c:v>
                </c:pt>
                <c:pt idx="1">
                  <c:v>45878</c:v>
                </c:pt>
                <c:pt idx="2">
                  <c:v>45885</c:v>
                </c:pt>
                <c:pt idx="3">
                  <c:v>45892</c:v>
                </c:pt>
                <c:pt idx="4">
                  <c:v>45899</c:v>
                </c:pt>
                <c:pt idx="5">
                  <c:v>45906</c:v>
                </c:pt>
                <c:pt idx="6">
                  <c:v>45913</c:v>
                </c:pt>
                <c:pt idx="7">
                  <c:v>45920</c:v>
                </c:pt>
                <c:pt idx="8">
                  <c:v>45927</c:v>
                </c:pt>
                <c:pt idx="9">
                  <c:v>45934</c:v>
                </c:pt>
                <c:pt idx="10">
                  <c:v>45941</c:v>
                </c:pt>
                <c:pt idx="11">
                  <c:v>45948</c:v>
                </c:pt>
                <c:pt idx="12">
                  <c:v>45955</c:v>
                </c:pt>
                <c:pt idx="13">
                  <c:v>45962</c:v>
                </c:pt>
                <c:pt idx="14">
                  <c:v>45969</c:v>
                </c:pt>
                <c:pt idx="15">
                  <c:v>45976</c:v>
                </c:pt>
                <c:pt idx="16">
                  <c:v>45983</c:v>
                </c:pt>
                <c:pt idx="17">
                  <c:v>45990</c:v>
                </c:pt>
                <c:pt idx="18">
                  <c:v>45997</c:v>
                </c:pt>
                <c:pt idx="19">
                  <c:v>46004</c:v>
                </c:pt>
                <c:pt idx="20">
                  <c:v>46011</c:v>
                </c:pt>
                <c:pt idx="21">
                  <c:v>46018</c:v>
                </c:pt>
                <c:pt idx="22">
                  <c:v>46025</c:v>
                </c:pt>
                <c:pt idx="23">
                  <c:v>46032</c:v>
                </c:pt>
                <c:pt idx="24">
                  <c:v>46039</c:v>
                </c:pt>
                <c:pt idx="25">
                  <c:v>46046</c:v>
                </c:pt>
                <c:pt idx="26">
                  <c:v>46053</c:v>
                </c:pt>
                <c:pt idx="27">
                  <c:v>46060</c:v>
                </c:pt>
                <c:pt idx="28">
                  <c:v>46067</c:v>
                </c:pt>
                <c:pt idx="29">
                  <c:v>46074</c:v>
                </c:pt>
                <c:pt idx="30">
                  <c:v>46081</c:v>
                </c:pt>
                <c:pt idx="31">
                  <c:v>46088</c:v>
                </c:pt>
                <c:pt idx="32">
                  <c:v>46095</c:v>
                </c:pt>
                <c:pt idx="33">
                  <c:v>46102</c:v>
                </c:pt>
                <c:pt idx="34">
                  <c:v>46109</c:v>
                </c:pt>
                <c:pt idx="35">
                  <c:v>46116</c:v>
                </c:pt>
                <c:pt idx="36">
                  <c:v>46123</c:v>
                </c:pt>
                <c:pt idx="37">
                  <c:v>46130</c:v>
                </c:pt>
                <c:pt idx="38">
                  <c:v>46137</c:v>
                </c:pt>
                <c:pt idx="39">
                  <c:v>46142</c:v>
                </c:pt>
              </c:numCache>
            </c:numRef>
          </c:cat>
          <c:val>
            <c:numRef>
              <c:f>ForecastSheet!$C$2:$C$41</c:f>
              <c:numCache>
                <c:formatCode>General</c:formatCode>
                <c:ptCount val="40"/>
                <c:pt idx="25">
                  <c:v>16.994063000724552</c:v>
                </c:pt>
                <c:pt idx="26">
                  <c:v>17.206843761182398</c:v>
                </c:pt>
                <c:pt idx="27">
                  <c:v>17.419624521640241</c:v>
                </c:pt>
                <c:pt idx="28">
                  <c:v>17.632405282098087</c:v>
                </c:pt>
                <c:pt idx="29">
                  <c:v>17.84518604255593</c:v>
                </c:pt>
                <c:pt idx="30">
                  <c:v>18.057966803013777</c:v>
                </c:pt>
                <c:pt idx="31">
                  <c:v>18.27074756347162</c:v>
                </c:pt>
                <c:pt idx="32">
                  <c:v>18.483528323929466</c:v>
                </c:pt>
                <c:pt idx="33">
                  <c:v>18.696309084387309</c:v>
                </c:pt>
                <c:pt idx="34">
                  <c:v>18.909089844845155</c:v>
                </c:pt>
                <c:pt idx="35">
                  <c:v>19.121870605302998</c:v>
                </c:pt>
                <c:pt idx="36">
                  <c:v>19.334651365760845</c:v>
                </c:pt>
                <c:pt idx="37">
                  <c:v>19.547432126218688</c:v>
                </c:pt>
                <c:pt idx="38">
                  <c:v>19.760212886676534</c:v>
                </c:pt>
                <c:pt idx="39">
                  <c:v>19.912199144146424</c:v>
                </c:pt>
              </c:numCache>
            </c:numRef>
          </c:val>
          <c:smooth val="0"/>
          <c:extLst>
            <c:ext xmlns:c16="http://schemas.microsoft.com/office/drawing/2014/chart" uri="{C3380CC4-5D6E-409C-BE32-E72D297353CC}">
              <c16:uniqueId val="{00000001-6F30-46F5-97F4-4887EF92A9FA}"/>
            </c:ext>
          </c:extLst>
        </c:ser>
        <c:ser>
          <c:idx val="2"/>
          <c:order val="2"/>
          <c:tx>
            <c:strRef>
              <c:f>ForecastSheet!$D$1</c:f>
              <c:strCache>
                <c:ptCount val="1"/>
                <c:pt idx="0">
                  <c:v>Lower Confidence Bound(Total Orders)</c:v>
                </c:pt>
              </c:strCache>
            </c:strRef>
          </c:tx>
          <c:spPr>
            <a:ln w="12700" cap="rnd">
              <a:solidFill>
                <a:srgbClr val="C0504D"/>
              </a:solidFill>
              <a:prstDash val="solid"/>
              <a:round/>
            </a:ln>
            <a:effectLst/>
          </c:spPr>
          <c:marker>
            <c:symbol val="none"/>
          </c:marker>
          <c:cat>
            <c:numRef>
              <c:f>ForecastSheet!$A$2:$A$41</c:f>
              <c:numCache>
                <c:formatCode>[$-409]dd\-mmm\-yy;@</c:formatCode>
                <c:ptCount val="40"/>
                <c:pt idx="0">
                  <c:v>45871</c:v>
                </c:pt>
                <c:pt idx="1">
                  <c:v>45878</c:v>
                </c:pt>
                <c:pt idx="2">
                  <c:v>45885</c:v>
                </c:pt>
                <c:pt idx="3">
                  <c:v>45892</c:v>
                </c:pt>
                <c:pt idx="4">
                  <c:v>45899</c:v>
                </c:pt>
                <c:pt idx="5">
                  <c:v>45906</c:v>
                </c:pt>
                <c:pt idx="6">
                  <c:v>45913</c:v>
                </c:pt>
                <c:pt idx="7">
                  <c:v>45920</c:v>
                </c:pt>
                <c:pt idx="8">
                  <c:v>45927</c:v>
                </c:pt>
                <c:pt idx="9">
                  <c:v>45934</c:v>
                </c:pt>
                <c:pt idx="10">
                  <c:v>45941</c:v>
                </c:pt>
                <c:pt idx="11">
                  <c:v>45948</c:v>
                </c:pt>
                <c:pt idx="12">
                  <c:v>45955</c:v>
                </c:pt>
                <c:pt idx="13">
                  <c:v>45962</c:v>
                </c:pt>
                <c:pt idx="14">
                  <c:v>45969</c:v>
                </c:pt>
                <c:pt idx="15">
                  <c:v>45976</c:v>
                </c:pt>
                <c:pt idx="16">
                  <c:v>45983</c:v>
                </c:pt>
                <c:pt idx="17">
                  <c:v>45990</c:v>
                </c:pt>
                <c:pt idx="18">
                  <c:v>45997</c:v>
                </c:pt>
                <c:pt idx="19">
                  <c:v>46004</c:v>
                </c:pt>
                <c:pt idx="20">
                  <c:v>46011</c:v>
                </c:pt>
                <c:pt idx="21">
                  <c:v>46018</c:v>
                </c:pt>
                <c:pt idx="22">
                  <c:v>46025</c:v>
                </c:pt>
                <c:pt idx="23">
                  <c:v>46032</c:v>
                </c:pt>
                <c:pt idx="24">
                  <c:v>46039</c:v>
                </c:pt>
                <c:pt idx="25">
                  <c:v>46046</c:v>
                </c:pt>
                <c:pt idx="26">
                  <c:v>46053</c:v>
                </c:pt>
                <c:pt idx="27">
                  <c:v>46060</c:v>
                </c:pt>
                <c:pt idx="28">
                  <c:v>46067</c:v>
                </c:pt>
                <c:pt idx="29">
                  <c:v>46074</c:v>
                </c:pt>
                <c:pt idx="30">
                  <c:v>46081</c:v>
                </c:pt>
                <c:pt idx="31">
                  <c:v>46088</c:v>
                </c:pt>
                <c:pt idx="32">
                  <c:v>46095</c:v>
                </c:pt>
                <c:pt idx="33">
                  <c:v>46102</c:v>
                </c:pt>
                <c:pt idx="34">
                  <c:v>46109</c:v>
                </c:pt>
                <c:pt idx="35">
                  <c:v>46116</c:v>
                </c:pt>
                <c:pt idx="36">
                  <c:v>46123</c:v>
                </c:pt>
                <c:pt idx="37">
                  <c:v>46130</c:v>
                </c:pt>
                <c:pt idx="38">
                  <c:v>46137</c:v>
                </c:pt>
                <c:pt idx="39">
                  <c:v>46142</c:v>
                </c:pt>
              </c:numCache>
            </c:numRef>
          </c:cat>
          <c:val>
            <c:numRef>
              <c:f>ForecastSheet!$D$2:$D$41</c:f>
              <c:numCache>
                <c:formatCode>General</c:formatCode>
                <c:ptCount val="40"/>
                <c:pt idx="25" formatCode="0.00">
                  <c:v>18</c:v>
                </c:pt>
                <c:pt idx="26" formatCode="0.00">
                  <c:v>2.2408766502347159</c:v>
                </c:pt>
                <c:pt idx="27" formatCode="0.00">
                  <c:v>-2.7250397551202923</c:v>
                </c:pt>
                <c:pt idx="28" formatCode="0.00">
                  <c:v>-6.6171032145735431</c:v>
                </c:pt>
                <c:pt idx="29" formatCode="0.00">
                  <c:v>-9.9158317710362773</c:v>
                </c:pt>
                <c:pt idx="30" formatCode="0.00">
                  <c:v>-12.824298171126927</c:v>
                </c:pt>
                <c:pt idx="31" formatCode="0.00">
                  <c:v>-15.451050282281717</c:v>
                </c:pt>
                <c:pt idx="32" formatCode="0.00">
                  <c:v>-17.86218171257109</c:v>
                </c:pt>
                <c:pt idx="33" formatCode="0.00">
                  <c:v>-20.101470519811038</c:v>
                </c:pt>
                <c:pt idx="34" formatCode="0.00">
                  <c:v>-22.199684040858529</c:v>
                </c:pt>
                <c:pt idx="35" formatCode="0.00">
                  <c:v>-24.17942095196597</c:v>
                </c:pt>
                <c:pt idx="36" formatCode="0.00">
                  <c:v>-26.057857163746423</c:v>
                </c:pt>
                <c:pt idx="37" formatCode="0.00">
                  <c:v>-27.848408182479183</c:v>
                </c:pt>
                <c:pt idx="38" formatCode="0.00">
                  <c:v>-29.561788718961431</c:v>
                </c:pt>
                <c:pt idx="39" formatCode="0.00">
                  <c:v>-30.743689717953931</c:v>
                </c:pt>
              </c:numCache>
            </c:numRef>
          </c:val>
          <c:smooth val="0"/>
          <c:extLst>
            <c:ext xmlns:c16="http://schemas.microsoft.com/office/drawing/2014/chart" uri="{C3380CC4-5D6E-409C-BE32-E72D297353CC}">
              <c16:uniqueId val="{00000002-6F30-46F5-97F4-4887EF92A9FA}"/>
            </c:ext>
          </c:extLst>
        </c:ser>
        <c:ser>
          <c:idx val="3"/>
          <c:order val="3"/>
          <c:tx>
            <c:strRef>
              <c:f>ForecastSheet!$E$1</c:f>
              <c:strCache>
                <c:ptCount val="1"/>
                <c:pt idx="0">
                  <c:v>Upper Confidence Bound(Total Orders)</c:v>
                </c:pt>
              </c:strCache>
            </c:strRef>
          </c:tx>
          <c:spPr>
            <a:ln w="12700" cap="rnd">
              <a:solidFill>
                <a:srgbClr val="C0504D"/>
              </a:solidFill>
              <a:prstDash val="solid"/>
              <a:round/>
            </a:ln>
            <a:effectLst/>
          </c:spPr>
          <c:marker>
            <c:symbol val="none"/>
          </c:marker>
          <c:cat>
            <c:numRef>
              <c:f>ForecastSheet!$A$2:$A$41</c:f>
              <c:numCache>
                <c:formatCode>[$-409]dd\-mmm\-yy;@</c:formatCode>
                <c:ptCount val="40"/>
                <c:pt idx="0">
                  <c:v>45871</c:v>
                </c:pt>
                <c:pt idx="1">
                  <c:v>45878</c:v>
                </c:pt>
                <c:pt idx="2">
                  <c:v>45885</c:v>
                </c:pt>
                <c:pt idx="3">
                  <c:v>45892</c:v>
                </c:pt>
                <c:pt idx="4">
                  <c:v>45899</c:v>
                </c:pt>
                <c:pt idx="5">
                  <c:v>45906</c:v>
                </c:pt>
                <c:pt idx="6">
                  <c:v>45913</c:v>
                </c:pt>
                <c:pt idx="7">
                  <c:v>45920</c:v>
                </c:pt>
                <c:pt idx="8">
                  <c:v>45927</c:v>
                </c:pt>
                <c:pt idx="9">
                  <c:v>45934</c:v>
                </c:pt>
                <c:pt idx="10">
                  <c:v>45941</c:v>
                </c:pt>
                <c:pt idx="11">
                  <c:v>45948</c:v>
                </c:pt>
                <c:pt idx="12">
                  <c:v>45955</c:v>
                </c:pt>
                <c:pt idx="13">
                  <c:v>45962</c:v>
                </c:pt>
                <c:pt idx="14">
                  <c:v>45969</c:v>
                </c:pt>
                <c:pt idx="15">
                  <c:v>45976</c:v>
                </c:pt>
                <c:pt idx="16">
                  <c:v>45983</c:v>
                </c:pt>
                <c:pt idx="17">
                  <c:v>45990</c:v>
                </c:pt>
                <c:pt idx="18">
                  <c:v>45997</c:v>
                </c:pt>
                <c:pt idx="19">
                  <c:v>46004</c:v>
                </c:pt>
                <c:pt idx="20">
                  <c:v>46011</c:v>
                </c:pt>
                <c:pt idx="21">
                  <c:v>46018</c:v>
                </c:pt>
                <c:pt idx="22">
                  <c:v>46025</c:v>
                </c:pt>
                <c:pt idx="23">
                  <c:v>46032</c:v>
                </c:pt>
                <c:pt idx="24">
                  <c:v>46039</c:v>
                </c:pt>
                <c:pt idx="25">
                  <c:v>46046</c:v>
                </c:pt>
                <c:pt idx="26">
                  <c:v>46053</c:v>
                </c:pt>
                <c:pt idx="27">
                  <c:v>46060</c:v>
                </c:pt>
                <c:pt idx="28">
                  <c:v>46067</c:v>
                </c:pt>
                <c:pt idx="29">
                  <c:v>46074</c:v>
                </c:pt>
                <c:pt idx="30">
                  <c:v>46081</c:v>
                </c:pt>
                <c:pt idx="31">
                  <c:v>46088</c:v>
                </c:pt>
                <c:pt idx="32">
                  <c:v>46095</c:v>
                </c:pt>
                <c:pt idx="33">
                  <c:v>46102</c:v>
                </c:pt>
                <c:pt idx="34">
                  <c:v>46109</c:v>
                </c:pt>
                <c:pt idx="35">
                  <c:v>46116</c:v>
                </c:pt>
                <c:pt idx="36">
                  <c:v>46123</c:v>
                </c:pt>
                <c:pt idx="37">
                  <c:v>46130</c:v>
                </c:pt>
                <c:pt idx="38">
                  <c:v>46137</c:v>
                </c:pt>
                <c:pt idx="39">
                  <c:v>46142</c:v>
                </c:pt>
              </c:numCache>
            </c:numRef>
          </c:cat>
          <c:val>
            <c:numRef>
              <c:f>ForecastSheet!$E$2:$E$41</c:f>
              <c:numCache>
                <c:formatCode>General</c:formatCode>
                <c:ptCount val="40"/>
                <c:pt idx="25" formatCode="0.00">
                  <c:v>18</c:v>
                </c:pt>
                <c:pt idx="26" formatCode="0.00">
                  <c:v>32.172810872130079</c:v>
                </c:pt>
                <c:pt idx="27" formatCode="0.00">
                  <c:v>37.564288798400774</c:v>
                </c:pt>
                <c:pt idx="28" formatCode="0.00">
                  <c:v>41.881913778769714</c:v>
                </c:pt>
                <c:pt idx="29" formatCode="0.00">
                  <c:v>45.606203856148142</c:v>
                </c:pt>
                <c:pt idx="30" formatCode="0.00">
                  <c:v>48.94023177715448</c:v>
                </c:pt>
                <c:pt idx="31" formatCode="0.00">
                  <c:v>51.992545409224959</c:v>
                </c:pt>
                <c:pt idx="32" formatCode="0.00">
                  <c:v>54.829238360430026</c:v>
                </c:pt>
                <c:pt idx="33" formatCode="0.00">
                  <c:v>57.494088688585656</c:v>
                </c:pt>
                <c:pt idx="34" formatCode="0.00">
                  <c:v>60.017863730548839</c:v>
                </c:pt>
                <c:pt idx="35" formatCode="0.00">
                  <c:v>62.42316216257197</c:v>
                </c:pt>
                <c:pt idx="36" formatCode="0.00">
                  <c:v>64.727159895268116</c:v>
                </c:pt>
                <c:pt idx="37" formatCode="0.00">
                  <c:v>66.943272434916565</c:v>
                </c:pt>
                <c:pt idx="38" formatCode="0.00">
                  <c:v>69.082214492314506</c:v>
                </c:pt>
                <c:pt idx="39" formatCode="0.00">
                  <c:v>70.568088006246782</c:v>
                </c:pt>
              </c:numCache>
            </c:numRef>
          </c:val>
          <c:smooth val="0"/>
          <c:extLst>
            <c:ext xmlns:c16="http://schemas.microsoft.com/office/drawing/2014/chart" uri="{C3380CC4-5D6E-409C-BE32-E72D297353CC}">
              <c16:uniqueId val="{00000003-6F30-46F5-97F4-4887EF92A9FA}"/>
            </c:ext>
          </c:extLst>
        </c:ser>
        <c:dLbls>
          <c:showLegendKey val="0"/>
          <c:showVal val="0"/>
          <c:showCatName val="0"/>
          <c:showSerName val="0"/>
          <c:showPercent val="0"/>
          <c:showBubbleSize val="0"/>
        </c:dLbls>
        <c:smooth val="0"/>
        <c:axId val="548309192"/>
        <c:axId val="548313152"/>
      </c:lineChart>
      <c:catAx>
        <c:axId val="548309192"/>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13152"/>
        <c:crosses val="autoZero"/>
        <c:auto val="1"/>
        <c:lblAlgn val="ctr"/>
        <c:lblOffset val="100"/>
        <c:noMultiLvlLbl val="0"/>
      </c:catAx>
      <c:valAx>
        <c:axId val="54831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09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88D9-4F9F-ACAA-82316562887E}">
          <cx:tx>
            <cx:txData>
              <cx:f>_xlchart.v1.1</cx:f>
              <cx:v>Amount</cx:v>
            </cx:txData>
          </cx:tx>
          <cx:dataLabels pos="outEnd">
            <cx:visibility seriesName="0" categoryName="0" value="1"/>
          </cx:dataLabels>
          <cx:dataId val="0"/>
          <cx:layoutPr>
            <cx:visibility connectorLines="1"/>
            <cx:subtotals>
              <cx:idx val="0"/>
              <cx:idx val="4"/>
            </cx:subtotals>
          </cx:layoutPr>
        </cx:series>
      </cx:plotAreaRegion>
      <cx:axis id="0">
        <cx:catScaling gapWidth="0.5"/>
        <cx:tickLabels/>
      </cx:axis>
      <cx:axis id="1" hidden="1">
        <cx:valScaling/>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11</xdr:col>
      <xdr:colOff>408272</xdr:colOff>
      <xdr:row>6</xdr:row>
      <xdr:rowOff>66576</xdr:rowOff>
    </xdr:from>
    <xdr:to>
      <xdr:col>14</xdr:col>
      <xdr:colOff>115905</xdr:colOff>
      <xdr:row>19</xdr:row>
      <xdr:rowOff>157715</xdr:rowOff>
    </xdr:to>
    <mc:AlternateContent xmlns:mc="http://schemas.openxmlformats.org/markup-compatibility/2006" xmlns:a14="http://schemas.microsoft.com/office/drawing/2010/main">
      <mc:Choice Requires="a14">
        <xdr:graphicFrame macro="">
          <xdr:nvGraphicFramePr>
            <xdr:cNvPr id="2" name="PaymentMethod">
              <a:extLst>
                <a:ext uri="{FF2B5EF4-FFF2-40B4-BE49-F238E27FC236}">
                  <a16:creationId xmlns:a16="http://schemas.microsoft.com/office/drawing/2014/main" id="{4A4EF982-F3B8-7209-57F1-A9DE9FA59B7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7964104" y="1173481"/>
              <a:ext cx="1833212" cy="2489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243840</xdr:colOff>
      <xdr:row>42</xdr:row>
      <xdr:rowOff>11430</xdr:rowOff>
    </xdr:from>
    <xdr:to>
      <xdr:col>6</xdr:col>
      <xdr:colOff>396240</xdr:colOff>
      <xdr:row>59</xdr:row>
      <xdr:rowOff>7620</xdr:rowOff>
    </xdr:to>
    <xdr:graphicFrame macro="">
      <xdr:nvGraphicFramePr>
        <xdr:cNvPr id="4" name="Chart 3">
          <a:extLst>
            <a:ext uri="{FF2B5EF4-FFF2-40B4-BE49-F238E27FC236}">
              <a16:creationId xmlns:a16="http://schemas.microsoft.com/office/drawing/2014/main" id="{C47439CA-9749-9D45-F6E3-208B749DC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220980</xdr:colOff>
      <xdr:row>84</xdr:row>
      <xdr:rowOff>110490</xdr:rowOff>
    </xdr:from>
    <xdr:to>
      <xdr:col>4</xdr:col>
      <xdr:colOff>1889760</xdr:colOff>
      <xdr:row>99</xdr:row>
      <xdr:rowOff>110490</xdr:rowOff>
    </xdr:to>
    <xdr:graphicFrame macro="">
      <xdr:nvGraphicFramePr>
        <xdr:cNvPr id="5" name="Chart 4">
          <a:extLst>
            <a:ext uri="{FF2B5EF4-FFF2-40B4-BE49-F238E27FC236}">
              <a16:creationId xmlns:a16="http://schemas.microsoft.com/office/drawing/2014/main" id="{A89BBEF3-EA1A-0CF2-1C0D-7BFCDD081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460407</xdr:colOff>
      <xdr:row>92</xdr:row>
      <xdr:rowOff>176263</xdr:rowOff>
    </xdr:from>
    <xdr:to>
      <xdr:col>15</xdr:col>
      <xdr:colOff>321243</xdr:colOff>
      <xdr:row>107</xdr:row>
      <xdr:rowOff>176262</xdr:rowOff>
    </xdr:to>
    <xdr:graphicFrame macro="">
      <xdr:nvGraphicFramePr>
        <xdr:cNvPr id="6" name="Chart 5">
          <a:extLst>
            <a:ext uri="{FF2B5EF4-FFF2-40B4-BE49-F238E27FC236}">
              <a16:creationId xmlns:a16="http://schemas.microsoft.com/office/drawing/2014/main" id="{859C4197-4998-95AA-25DE-DEF823066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156811</xdr:colOff>
      <xdr:row>115</xdr:row>
      <xdr:rowOff>52337</xdr:rowOff>
    </xdr:from>
    <xdr:to>
      <xdr:col>11</xdr:col>
      <xdr:colOff>529389</xdr:colOff>
      <xdr:row>135</xdr:row>
      <xdr:rowOff>40105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B2265C33-69D3-13AF-1E1B-AC905A6535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37271" y="21083537"/>
              <a:ext cx="4243538" cy="36453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120317</xdr:colOff>
      <xdr:row>140</xdr:row>
      <xdr:rowOff>120316</xdr:rowOff>
    </xdr:from>
    <xdr:to>
      <xdr:col>14</xdr:col>
      <xdr:colOff>24064</xdr:colOff>
      <xdr:row>155</xdr:row>
      <xdr:rowOff>96252</xdr:rowOff>
    </xdr:to>
    <xdr:graphicFrame macro="">
      <xdr:nvGraphicFramePr>
        <xdr:cNvPr id="10" name="Chart 9">
          <a:extLst>
            <a:ext uri="{FF2B5EF4-FFF2-40B4-BE49-F238E27FC236}">
              <a16:creationId xmlns:a16="http://schemas.microsoft.com/office/drawing/2014/main" id="{5BF12C2B-67CC-7336-054C-40B03482E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687456</xdr:colOff>
      <xdr:row>51</xdr:row>
      <xdr:rowOff>74544</xdr:rowOff>
    </xdr:from>
    <xdr:to>
      <xdr:col>6</xdr:col>
      <xdr:colOff>2194477</xdr:colOff>
      <xdr:row>75</xdr:row>
      <xdr:rowOff>140805</xdr:rowOff>
    </xdr:to>
    <xdr:graphicFrame macro="">
      <xdr:nvGraphicFramePr>
        <xdr:cNvPr id="3" name="Chart 2">
          <a:extLst>
            <a:ext uri="{FF2B5EF4-FFF2-40B4-BE49-F238E27FC236}">
              <a16:creationId xmlns:a16="http://schemas.microsoft.com/office/drawing/2014/main" id="{4A45DE88-98F9-4955-A5CD-256AE963A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1.525540393515" createdVersion="8" refreshedVersion="8" minRefreshableVersion="3" recordCount="326" xr:uid="{62745B34-DD3C-47DD-8192-94521392DF81}">
  <cacheSource type="worksheet">
    <worksheetSource name="Table5"/>
  </cacheSource>
  <cacheFields count="32">
    <cacheField name="OrderID" numFmtId="0">
      <sharedItems/>
    </cacheField>
    <cacheField name="OrderDate" numFmtId="164">
      <sharedItems containsNonDate="0" containsDate="1" containsString="0" containsBlank="1" minDate="2025-08-02T00:00:00" maxDate="2026-02-01T00:00:00" count="149">
        <d v="2026-01-24T00:00:00"/>
        <d v="2026-01-06T00:00:00"/>
        <d v="2026-01-25T00:00:00"/>
        <d v="2026-01-27T00:00:00"/>
        <d v="2025-08-21T00:00:00"/>
        <d v="2025-11-03T00:00:00"/>
        <d v="2025-11-19T00:00:00"/>
        <d v="2025-10-03T00:00:00"/>
        <d v="2025-10-25T00:00:00"/>
        <d v="2025-09-13T00:00:00"/>
        <d v="2025-10-29T00:00:00"/>
        <d v="2025-09-10T00:00:00"/>
        <d v="2026-01-26T00:00:00"/>
        <d v="2025-11-08T00:00:00"/>
        <d v="2026-01-05T00:00:00"/>
        <d v="2025-12-29T00:00:00"/>
        <d v="2025-08-10T00:00:00"/>
        <d v="2025-12-25T00:00:00"/>
        <d v="2025-08-07T00:00:00"/>
        <d v="2025-12-30T00:00:00"/>
        <d v="2026-01-29T00:00:00"/>
        <d v="2025-10-22T00:00:00"/>
        <d v="2025-11-07T00:00:00"/>
        <d v="2025-08-06T00:00:00"/>
        <d v="2025-11-06T00:00:00"/>
        <d v="2025-09-28T00:00:00"/>
        <d v="2025-09-18T00:00:00"/>
        <d v="2025-11-05T00:00:00"/>
        <d v="2025-10-19T00:00:00"/>
        <d v="2025-09-16T00:00:00"/>
        <d v="2026-01-30T00:00:00"/>
        <d v="2025-10-28T00:00:00"/>
        <d v="2025-12-26T00:00:00"/>
        <d v="2025-10-23T00:00:00"/>
        <d v="2025-08-14T00:00:00"/>
        <d v="2025-11-04T00:00:00"/>
        <d v="2025-09-30T00:00:00"/>
        <d v="2025-12-12T00:00:00"/>
        <d v="2025-12-11T00:00:00"/>
        <d v="2025-10-20T00:00:00"/>
        <d v="2025-11-18T00:00:00"/>
        <m/>
        <d v="2025-12-10T00:00:00"/>
        <d v="2026-01-03T00:00:00"/>
        <d v="2025-10-27T00:00:00"/>
        <d v="2026-01-07T00:00:00"/>
        <d v="2025-08-20T00:00:00"/>
        <d v="2026-01-18T00:00:00"/>
        <d v="2026-01-04T00:00:00"/>
        <d v="2025-10-21T00:00:00"/>
        <d v="2025-08-17T00:00:00"/>
        <d v="2026-01-02T00:00:00"/>
        <d v="2025-09-21T00:00:00"/>
        <d v="2025-11-01T00:00:00"/>
        <d v="2025-12-31T00:00:00"/>
        <d v="2025-09-11T00:00:00"/>
        <d v="2025-12-13T00:00:00"/>
        <d v="2025-09-19T00:00:00"/>
        <d v="2025-09-01T00:00:00"/>
        <d v="2025-12-22T00:00:00"/>
        <d v="2025-09-04T00:00:00"/>
        <d v="2025-10-15T00:00:00"/>
        <d v="2025-10-24T00:00:00"/>
        <d v="2025-10-31T00:00:00"/>
        <d v="2025-12-17T00:00:00"/>
        <d v="2026-01-10T00:00:00"/>
        <d v="2026-01-08T00:00:00"/>
        <d v="2025-12-06T00:00:00"/>
        <d v="2025-08-28T00:00:00"/>
        <d v="2025-10-30T00:00:00"/>
        <d v="2025-11-17T00:00:00"/>
        <d v="2025-09-27T00:00:00"/>
        <d v="2025-08-22T00:00:00"/>
        <d v="2025-09-17T00:00:00"/>
        <d v="2025-12-01T00:00:00"/>
        <d v="2026-01-15T00:00:00"/>
        <d v="2026-01-01T00:00:00"/>
        <d v="2026-01-16T00:00:00"/>
        <d v="2025-12-14T00:00:00"/>
        <d v="2026-01-14T00:00:00"/>
        <d v="2025-11-20T00:00:00"/>
        <d v="2025-10-07T00:00:00"/>
        <d v="2025-08-13T00:00:00"/>
        <d v="2025-12-15T00:00:00"/>
        <d v="2025-12-23T00:00:00"/>
        <d v="2025-08-18T00:00:00"/>
        <d v="2026-01-17T00:00:00"/>
        <d v="2025-11-15T00:00:00"/>
        <d v="2025-11-02T00:00:00"/>
        <d v="2025-11-13T00:00:00"/>
        <d v="2025-08-15T00:00:00"/>
        <d v="2025-12-19T00:00:00"/>
        <d v="2025-11-12T00:00:00"/>
        <d v="2025-10-26T00:00:00"/>
        <d v="2025-12-03T00:00:00"/>
        <d v="2025-10-18T00:00:00"/>
        <d v="2025-11-11T00:00:00"/>
        <d v="2025-08-03T00:00:00"/>
        <d v="2025-09-09T00:00:00"/>
        <d v="2025-10-12T00:00:00"/>
        <d v="2025-08-12T00:00:00"/>
        <d v="2025-10-17T00:00:00"/>
        <d v="2025-08-19T00:00:00"/>
        <d v="2026-01-13T00:00:00"/>
        <d v="2025-09-15T00:00:00"/>
        <d v="2025-12-07T00:00:00"/>
        <d v="2025-12-24T00:00:00"/>
        <d v="2026-01-12T00:00:00"/>
        <d v="2025-12-08T00:00:00"/>
        <d v="2025-11-10T00:00:00"/>
        <d v="2026-01-09T00:00:00"/>
        <d v="2025-08-09T00:00:00"/>
        <d v="2025-12-02T00:00:00"/>
        <d v="2025-12-28T00:00:00"/>
        <d v="2025-10-09T00:00:00"/>
        <d v="2025-12-04T00:00:00"/>
        <d v="2025-08-02T00:00:00"/>
        <d v="2025-12-05T00:00:00"/>
        <d v="2025-08-31T00:00:00"/>
        <d v="2025-10-01T00:00:00"/>
        <d v="2025-08-11T00:00:00"/>
        <d v="2025-12-20T00:00:00"/>
        <d v="2025-09-06T00:00:00"/>
        <d v="2025-08-25T00:00:00"/>
        <d v="2026-01-20T00:00:00"/>
        <d v="2025-11-25T00:00:00"/>
        <d v="2026-01-28T00:00:00"/>
        <d v="2026-01-19T00:00:00"/>
        <d v="2026-01-11T00:00:00"/>
        <d v="2025-09-26T00:00:00"/>
        <d v="2025-10-14T00:00:00"/>
        <d v="2025-08-29T00:00:00"/>
        <d v="2025-08-23T00:00:00"/>
        <d v="2025-09-12T00:00:00"/>
        <d v="2025-12-27T00:00:00"/>
        <d v="2025-08-16T00:00:00"/>
        <d v="2025-11-26T00:00:00"/>
        <d v="2025-12-09T00:00:00"/>
        <d v="2025-09-24T00:00:00"/>
        <d v="2025-09-22T00:00:00"/>
        <d v="2025-12-18T00:00:00"/>
        <d v="2026-01-21T00:00:00"/>
        <d v="2025-08-24T00:00:00"/>
        <d v="2025-12-21T00:00:00"/>
        <d v="2026-01-31T00:00:00"/>
        <d v="2025-11-23T00:00:00"/>
        <d v="2025-12-16T00:00:00"/>
        <d v="2025-11-09T00:00:00"/>
        <d v="2025-11-30T00:00:00"/>
      </sharedItems>
      <fieldGroup par="31"/>
    </cacheField>
    <cacheField name="Customer Name" numFmtId="0">
      <sharedItems/>
    </cacheField>
    <cacheField name="Customer Phone" numFmtId="0">
      <sharedItems/>
    </cacheField>
    <cacheField name="CustomerSignupDate" numFmtId="164">
      <sharedItems containsSemiMixedTypes="0" containsNonDate="0" containsDate="1" containsString="0" minDate="2025-01-23T00:00:00" maxDate="2026-01-30T00:00:00"/>
    </cacheField>
    <cacheField name="Customer Type" numFmtId="164">
      <sharedItems/>
    </cacheField>
    <cacheField name="City" numFmtId="0">
      <sharedItems count="8">
        <s v="Biratnagar"/>
        <s v="Kathmandu"/>
        <s v="Chitwan"/>
        <s v="Butwal"/>
        <s v="Bhaktapur"/>
        <s v="Lalitpur"/>
        <s v="Pokhara"/>
        <s v="Dharan"/>
      </sharedItems>
    </cacheField>
    <cacheField name="Restaurant Partner" numFmtId="0">
      <sharedItems/>
    </cacheField>
    <cacheField name="ItemCategory" numFmtId="0">
      <sharedItems/>
    </cacheField>
    <cacheField name="ItemName" numFmtId="0">
      <sharedItems/>
    </cacheField>
    <cacheField name="Quantity" numFmtId="1">
      <sharedItems containsSemiMixedTypes="0" containsString="0" containsNumber="1" containsInteger="1" minValue="1" maxValue="4"/>
    </cacheField>
    <cacheField name="RiderID" numFmtId="0">
      <sharedItems/>
    </cacheField>
    <cacheField name="PaymentMethod" numFmtId="0">
      <sharedItems count="5">
        <s v="eSewa"/>
        <s v="Cash on Delivery"/>
        <s v="Khalti"/>
        <s v="IME Pay"/>
        <s v="ConnectIPS"/>
      </sharedItems>
    </cacheField>
    <cacheField name="PromoCode" numFmtId="0">
      <sharedItems containsBlank="1"/>
    </cacheField>
    <cacheField name="OrderStatus" numFmtId="0">
      <sharedItems containsBlank="1"/>
    </cacheField>
    <cacheField name="Status Review" numFmtId="0">
      <sharedItems/>
    </cacheField>
    <cacheField name="CustomerRating" numFmtId="0">
      <sharedItems containsString="0" containsBlank="1" containsNumber="1" containsInteger="1" minValue="2" maxValue="5"/>
    </cacheField>
    <cacheField name="DeliveryTimeTaken_Min" numFmtId="1">
      <sharedItems containsSemiMixedTypes="0" containsString="0" containsNumber="1" containsInteger="1" minValue="2" maxValue="610"/>
    </cacheField>
    <cacheField name="FeedbackText" numFmtId="0">
      <sharedItems containsBlank="1"/>
    </cacheField>
    <cacheField name="Order Summary" numFmtId="0">
      <sharedItems/>
    </cacheField>
    <cacheField name="City Upper" numFmtId="0">
      <sharedItems/>
    </cacheField>
    <cacheField name="Payment Lower" numFmtId="0">
      <sharedItems/>
    </cacheField>
    <cacheField name="Unit Price" numFmtId="0">
      <sharedItems containsSemiMixedTypes="0" containsString="0" containsNumber="1" containsInteger="1" minValue="60" maxValue="650"/>
    </cacheField>
    <cacheField name="Order Amount" numFmtId="1">
      <sharedItems containsSemiMixedTypes="0" containsString="0" containsNumber="1" containsInteger="1" minValue="60" maxValue="2600"/>
    </cacheField>
    <cacheField name="Delivery Fee" numFmtId="0">
      <sharedItems containsSemiMixedTypes="0" containsString="0" containsNumber="1" containsInteger="1" minValue="50" maxValue="95"/>
    </cacheField>
    <cacheField name="Discount Amount" numFmtId="0">
      <sharedItems containsSemiMixedTypes="0" containsString="0" containsNumber="1" minValue="0" maxValue="360"/>
    </cacheField>
    <cacheField name="Final Amount" numFmtId="1">
      <sharedItems containsSemiMixedTypes="0" containsString="0" containsNumber="1" minValue="10" maxValue="2585"/>
    </cacheField>
    <cacheField name="Rider City" numFmtId="0">
      <sharedItems/>
    </cacheField>
    <cacheField name="Value Tier" numFmtId="0">
      <sharedItems/>
    </cacheField>
    <cacheField name="Promo Check" numFmtId="0">
      <sharedItems/>
    </cacheField>
    <cacheField name="Months (OrderDate)" numFmtId="0" databaseField="0">
      <fieldGroup base="1">
        <rangePr groupBy="months" startDate="2025-08-02T00:00:00" endDate="2026-02-01T00:00:00"/>
        <groupItems count="14">
          <s v="&lt;8/2/2025"/>
          <s v="Jan"/>
          <s v="Feb"/>
          <s v="Mar"/>
          <s v="Apr"/>
          <s v="May"/>
          <s v="Jun"/>
          <s v="Jul"/>
          <s v="Aug"/>
          <s v="Sep"/>
          <s v="Oct"/>
          <s v="Nov"/>
          <s v="Dec"/>
          <s v="&gt;2/1/2026"/>
        </groupItems>
      </fieldGroup>
    </cacheField>
    <cacheField name="Years (OrderDate)" numFmtId="0" databaseField="0">
      <fieldGroup base="1">
        <rangePr groupBy="years" startDate="2025-08-02T00:00:00" endDate="2026-02-01T00:00:00"/>
        <groupItems count="4">
          <s v="&lt;8/2/2025"/>
          <s v="2025"/>
          <s v="2026"/>
          <s v="&gt;2/1/2026"/>
        </groupItems>
      </fieldGroup>
    </cacheField>
  </cacheFields>
  <extLst>
    <ext xmlns:x14="http://schemas.microsoft.com/office/spreadsheetml/2009/9/main" uri="{725AE2AE-9491-48be-B2B4-4EB974FC3084}">
      <x14:pivotCacheDefinition pivotCacheId="653769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
  <r>
    <s v="ORD-1307"/>
    <x v="0"/>
    <s v="Bandana Khadka"/>
    <s v="9874-911862"/>
    <d v="2025-10-25T00:00:00"/>
    <s v="Returning"/>
    <x v="0"/>
    <s v="Newa Kitchen"/>
    <s v="Newari Khana"/>
    <s v="Bara"/>
    <n v="2"/>
    <s v="R-118"/>
    <x v="0"/>
    <s v="FIRSTORDER"/>
    <s v="Delivered"/>
    <s v=""/>
    <n v="4"/>
    <n v="36"/>
    <s v="good food, will order again"/>
    <s v="ORD-1307 | Biratnagar | Bara"/>
    <s v="BIRATNAGAR"/>
    <s v="esewa"/>
    <n v="160"/>
    <n v="320"/>
    <n v="90"/>
    <n v="100"/>
    <n v="310"/>
    <s v="Biratnagar"/>
    <s v="Small"/>
    <s v="Expired Code Used"/>
  </r>
  <r>
    <s v="ORD-1277"/>
    <x v="1"/>
    <s v="Nabin Magar"/>
    <s v="9884-529841"/>
    <d v="2025-12-03T00:00:00"/>
    <s v="Returning"/>
    <x v="1"/>
    <s v="Thakali Ghar"/>
    <s v="Thakali Set"/>
    <s v="Chicken Thakali Set"/>
    <n v="1"/>
    <s v="R-106"/>
    <x v="1"/>
    <m/>
    <s v="Delivered"/>
    <s v=""/>
    <n v="4"/>
    <n v="20"/>
    <s v="quality was great as always"/>
    <s v="ORD-1277 | Kathmandu | Chicken Thakali Set"/>
    <s v="KATHMANDU"/>
    <s v="cash on delivery"/>
    <n v="480"/>
    <n v="480"/>
    <n v="50"/>
    <n v="0"/>
    <n v="530"/>
    <s v="Kathmandu"/>
    <s v="Medium"/>
    <s v="Valid"/>
  </r>
  <r>
    <s v="ORD-1308"/>
    <x v="2"/>
    <s v="Gopal Shrestha"/>
    <s v="9848-525388"/>
    <d v="2026-01-08T00:00:00"/>
    <s v="Returning"/>
    <x v="2"/>
    <s v="Sweet Home Bakery"/>
    <s v="Bakery"/>
    <s v="Barfi (5 pcs)"/>
    <n v="1"/>
    <s v="R-121"/>
    <x v="0"/>
    <m/>
    <s v="Delivered"/>
    <s v=""/>
    <n v="2"/>
    <n v="57"/>
    <s v="delivery was very late"/>
    <s v="ORD-1308 | Chitwan | Barfi (5 pcs)"/>
    <s v="CHITWAN"/>
    <s v="esewa"/>
    <n v="220"/>
    <n v="220"/>
    <n v="80"/>
    <n v="0"/>
    <n v="300"/>
    <s v="Chitwan"/>
    <s v="Small"/>
    <s v="Valid"/>
  </r>
  <r>
    <s v="ORD-1314"/>
    <x v="3"/>
    <s v="Bishal Basnet"/>
    <s v="9878-245040"/>
    <d v="2025-09-16T00:00:00"/>
    <s v="Returning"/>
    <x v="3"/>
    <s v="Wok Point"/>
    <s v="Chinese"/>
    <s v="Chicken Manchurian"/>
    <n v="1"/>
    <s v="R-119"/>
    <x v="2"/>
    <m/>
    <m/>
    <s v=" NEED REVIEW"/>
    <m/>
    <n v="40"/>
    <m/>
    <s v="ORD-1314 | Butwal | Chicken Manchurian"/>
    <s v="BUTWAL"/>
    <s v="khalti"/>
    <n v="320"/>
    <n v="320"/>
    <n v="85"/>
    <n v="0"/>
    <n v="405"/>
    <s v="Butwal"/>
    <s v="Small"/>
    <s v="Valid"/>
  </r>
  <r>
    <s v="ORD-1025"/>
    <x v="4"/>
    <s v="Rina Adhikari"/>
    <s v="9867-272042"/>
    <d v="2025-03-27T00:00:00"/>
    <s v="Returning"/>
    <x v="0"/>
    <s v="Cafe Cup"/>
    <s v="Beverages"/>
    <s v="MANGO JUICE"/>
    <n v="1"/>
    <s v="R-117"/>
    <x v="2"/>
    <m/>
    <s v="Delivered"/>
    <s v=""/>
    <n v="5"/>
    <n v="34"/>
    <s v="quality was great as always"/>
    <s v="ORD-1025 | Biratnagar | MANGO JUICE"/>
    <s v="BIRATNAGAR"/>
    <s v="khalti"/>
    <n v="120"/>
    <n v="120"/>
    <n v="90"/>
    <n v="0"/>
    <n v="210"/>
    <s v="Biratnagar"/>
    <s v="Small"/>
    <s v="Valid"/>
  </r>
  <r>
    <s v="ORD-1167"/>
    <x v="5"/>
    <s v="Sandhya Shrestha"/>
    <s v="9853-549306"/>
    <d v="2025-11-02T00:00:00"/>
    <s v="New"/>
    <x v="3"/>
    <s v="Himalayan Bakers"/>
    <s v="Bakery"/>
    <s v="Chocolate Pastry"/>
    <n v="1"/>
    <s v="R-120"/>
    <x v="0"/>
    <m/>
    <s v="Delivered"/>
    <s v=""/>
    <n v="3"/>
    <n v="36"/>
    <m/>
    <s v="ORD-1167 | Butwal | Chocolate Pastry"/>
    <s v="BUTWAL"/>
    <s v="esewa"/>
    <n v="150"/>
    <n v="150"/>
    <n v="85"/>
    <n v="0"/>
    <n v="235"/>
    <s v="Butwal"/>
    <s v="Small"/>
    <s v="Valid"/>
  </r>
  <r>
    <s v="ORD-1143"/>
    <x v="6"/>
    <s v="Suresh Dahal"/>
    <s v="9828-159013"/>
    <d v="2025-10-29T00:00:00"/>
    <s v="Returning"/>
    <x v="4"/>
    <s v="Quick Snacks Corner"/>
    <s v="Fast Food"/>
    <s v="Veg Fried Rice"/>
    <n v="2"/>
    <s v="R-111"/>
    <x v="2"/>
    <s v="TIHAR15"/>
    <s v="Delivered"/>
    <s v=""/>
    <n v="4"/>
    <n v="19"/>
    <m/>
    <s v="ORD-1143 | Bhaktapur | Veg Fried Rice"/>
    <s v="BHAKTAPUR"/>
    <s v="khalti"/>
    <n v="220"/>
    <n v="440"/>
    <n v="55"/>
    <n v="66"/>
    <n v="429"/>
    <s v="Bhaktapur"/>
    <s v="Small"/>
    <s v="Expired Code Used"/>
  </r>
  <r>
    <s v="ORD-1077"/>
    <x v="7"/>
    <s v="Rajan Poudel"/>
    <s v="9808-246281"/>
    <d v="2025-09-09T00:00:00"/>
    <s v="Returning"/>
    <x v="1"/>
    <s v="Himalayan Bakers"/>
    <s v="Bakery"/>
    <s v="Sel Roti (4 pcs)"/>
    <n v="1"/>
    <s v="R-102"/>
    <x v="1"/>
    <s v="DASHAIN10"/>
    <s v="Delivered"/>
    <s v=""/>
    <n v="4"/>
    <n v="27"/>
    <m/>
    <s v="ORD-1077 | Kathmandu | Sel Roti (4 pcs)"/>
    <s v="KATHMANDU"/>
    <s v="cash on delivery"/>
    <n v="140"/>
    <n v="140"/>
    <n v="50"/>
    <n v="14"/>
    <n v="176"/>
    <s v="Kathmandu"/>
    <s v="Small"/>
    <s v="Valid"/>
  </r>
  <r>
    <s v="ORD-1116"/>
    <x v="8"/>
    <s v="Ramesh Lama"/>
    <s v="9853-705656"/>
    <d v="2025-08-08T00:00:00"/>
    <s v="Returning"/>
    <x v="2"/>
    <s v="Himalayan Thakali Kitchen"/>
    <s v="Thakali Set"/>
    <s v="Chicken Thakali Set  "/>
    <n v="2"/>
    <s v="R-121"/>
    <x v="0"/>
    <m/>
    <s v="Delivered"/>
    <s v=""/>
    <n v="2"/>
    <n v="63"/>
    <s v="rider could not find my house"/>
    <s v="ORD-1116 | Chitwan | Chicken Thakali Set  "/>
    <s v="CHITWAN"/>
    <s v="esewa"/>
    <n v="480"/>
    <n v="960"/>
    <n v="80"/>
    <n v="0"/>
    <n v="1040"/>
    <s v="Chitwan"/>
    <s v="Large"/>
    <s v="Valid"/>
  </r>
  <r>
    <s v="ORD-1053"/>
    <x v="9"/>
    <s v="Ashok Bhattarai"/>
    <s v="9887-355706"/>
    <d v="2025-09-13T00:00:00"/>
    <s v="New"/>
    <x v="5"/>
    <s v="Fast Bites"/>
    <s v="Fast Food"/>
    <s v="Chicken Pizza"/>
    <n v="1"/>
    <s v="R-108"/>
    <x v="2"/>
    <m/>
    <s v="Delivered"/>
    <s v=""/>
    <n v="4"/>
    <n v="30"/>
    <s v="best momo in town"/>
    <s v="ORD-1053 | Lalitpur | Chicken Pizza"/>
    <s v="LALITPUR"/>
    <s v="khalti"/>
    <n v="650"/>
    <n v="650"/>
    <n v="50"/>
    <n v="0"/>
    <n v="700"/>
    <s v="Lalitpur"/>
    <s v="Medium"/>
    <s v="Valid"/>
  </r>
  <r>
    <s v="ORD-1144"/>
    <x v="10"/>
    <s v="Nirmala Acharya"/>
    <s v="9848-113114"/>
    <d v="2025-10-27T00:00:00"/>
    <s v="New"/>
    <x v="6"/>
    <s v="Himalayan Bakers"/>
    <s v="Bakery"/>
    <s v="Cheese Cake Slice  "/>
    <n v="1"/>
    <s v="R-115"/>
    <x v="2"/>
    <m/>
    <s v="Delivered"/>
    <s v=""/>
    <n v="5"/>
    <n v="29"/>
    <m/>
    <s v="ORD-1144 | Pokhara | Cheese Cake Slice  "/>
    <s v="POKHARA"/>
    <s v="khalti"/>
    <n v="250"/>
    <n v="250"/>
    <n v="70"/>
    <n v="0"/>
    <n v="320"/>
    <s v="Pokhara"/>
    <s v="Small"/>
    <s v="Valid"/>
  </r>
  <r>
    <s v="ORD-1046"/>
    <x v="11"/>
    <s v="Bishal Bista"/>
    <s v="9899-075116"/>
    <d v="2025-08-11T00:00:00"/>
    <s v="Returning"/>
    <x v="5"/>
    <s v="Thakali Ghar"/>
    <s v="Thakali Set"/>
    <s v="Chicken Thakali Set"/>
    <n v="1"/>
    <s v="R-107"/>
    <x v="2"/>
    <m/>
    <s v="Delivered"/>
    <s v=""/>
    <n v="3"/>
    <n v="28"/>
    <s v="delivery was very late"/>
    <s v="ORD-1046 | Lalitpur | Chicken Thakali Set"/>
    <s v="LALITPUR"/>
    <s v="khalti"/>
    <n v="480"/>
    <n v="480"/>
    <n v="50"/>
    <n v="0"/>
    <n v="530"/>
    <s v="Lalitpur"/>
    <s v="Medium"/>
    <s v="Valid"/>
  </r>
  <r>
    <s v="ORD-1311"/>
    <x v="12"/>
    <s v="Nirmala Acharya"/>
    <s v="9848-113114"/>
    <d v="2025-10-27T00:00:00"/>
    <s v="Returning"/>
    <x v="1"/>
    <s v="Yeti Newari Bhoj"/>
    <s v="Newari Khana"/>
    <s v="Chatamari"/>
    <n v="3"/>
    <s v="R-101"/>
    <x v="0"/>
    <m/>
    <s v="Delivered"/>
    <s v=""/>
    <n v="4"/>
    <n v="34"/>
    <s v="best momo in town"/>
    <s v="ORD-1311 | Kathmandu | Chatamari"/>
    <s v="KATHMANDU"/>
    <s v="esewa"/>
    <n v="210"/>
    <n v="630"/>
    <n v="50"/>
    <n v="0"/>
    <n v="680"/>
    <s v="Kathmandu"/>
    <s v="Medium"/>
    <s v="Valid"/>
  </r>
  <r>
    <s v="ORD-1186"/>
    <x v="13"/>
    <s v="Bandana Basnet"/>
    <s v="9823-159425"/>
    <d v="2025-09-04T00:00:00"/>
    <s v="Returning"/>
    <x v="1"/>
    <s v="Sweet Home Bakery"/>
    <s v="Bakery"/>
    <s v="  Cheese Cake Slice"/>
    <n v="1"/>
    <s v="R-103"/>
    <x v="0"/>
    <s v="TIHAR15"/>
    <s v="Delivered"/>
    <s v=""/>
    <n v="3"/>
    <n v="30"/>
    <s v="quantity was less than expected"/>
    <s v="ORD-1186 | Kathmandu |   Cheese Cake Slice"/>
    <s v="KATHMANDU"/>
    <s v="esewa"/>
    <n v="250"/>
    <n v="250"/>
    <n v="50"/>
    <n v="37.5"/>
    <n v="262.5"/>
    <s v="Kathmandu"/>
    <s v="Small"/>
    <s v="Valid"/>
  </r>
  <r>
    <s v="ORD-1274"/>
    <x v="14"/>
    <s v="Manisha Rai"/>
    <s v="9816-957220"/>
    <d v="2025-11-06T00:00:00"/>
    <s v="Returning"/>
    <x v="1"/>
    <s v="Fast Bites"/>
    <s v="Fast Food"/>
    <s v="Chicken Pizza"/>
    <n v="2"/>
    <s v="R-103"/>
    <x v="2"/>
    <s v="FIRSTORDER"/>
    <s v="Delivered"/>
    <s v=""/>
    <n v="4"/>
    <n v="40"/>
    <m/>
    <s v="ORD-1274 | Kathmandu | Chicken Pizza"/>
    <s v="KATHMANDU"/>
    <s v="khalti"/>
    <n v="650"/>
    <n v="1300"/>
    <n v="50"/>
    <n v="100"/>
    <n v="1250"/>
    <s v="Kathmandu"/>
    <s v="Large"/>
    <s v="Expired Code Used"/>
  </r>
  <r>
    <s v="ORD-1258"/>
    <x v="15"/>
    <s v="Sita Lama"/>
    <s v="9840-206797"/>
    <d v="2025-11-08T00:00:00"/>
    <s v="Returning"/>
    <x v="4"/>
    <s v="Kathmandu Momo House"/>
    <s v="Momo"/>
    <s v="Buff Momo (Steamed)"/>
    <n v="1"/>
    <s v="R-111"/>
    <x v="0"/>
    <s v="FIRSTORDER"/>
    <s v="Returned"/>
    <s v=""/>
    <m/>
    <n v="26"/>
    <m/>
    <s v="ORD-1258 | Bhaktapur | Buff Momo (Steamed)"/>
    <s v="BHAKTAPUR"/>
    <s v="esewa"/>
    <n v="170"/>
    <n v="170"/>
    <n v="55"/>
    <n v="100"/>
    <n v="125"/>
    <s v="Bhaktapur"/>
    <s v="Small"/>
    <s v="Expired Code Used"/>
  </r>
  <r>
    <s v="ORD-1010"/>
    <x v="16"/>
    <s v="Suresh Bista"/>
    <s v="9837-504310"/>
    <d v="2025-08-09T00:00:00"/>
    <s v="New"/>
    <x v="3"/>
    <s v="Newa Kitchen"/>
    <s v="Newari Khana"/>
    <s v="Yomari  "/>
    <n v="1"/>
    <s v="R-120"/>
    <x v="0"/>
    <s v="MOMO20"/>
    <s v="Delivered"/>
    <s v=""/>
    <n v="3"/>
    <n v="50"/>
    <s v="food was cold when it arrived"/>
    <s v="ORD-1010 | Butwal | Yomari  "/>
    <s v="BUTWAL"/>
    <s v="esewa"/>
    <n v="180"/>
    <n v="180"/>
    <n v="85"/>
    <n v="36"/>
    <n v="229"/>
    <s v="Butwal"/>
    <s v="Small"/>
    <s v="Valid"/>
  </r>
  <r>
    <s v="ORD-1250"/>
    <x v="17"/>
    <s v="Deepak Basnet"/>
    <s v="9844-634786"/>
    <d v="2025-06-06T00:00:00"/>
    <s v="Returning"/>
    <x v="1"/>
    <s v="Momo Hut"/>
    <s v="Momo"/>
    <s v="Chicken Momo (Fried)"/>
    <n v="1"/>
    <s v="R-102"/>
    <x v="3"/>
    <m/>
    <s v="Delivered"/>
    <s v=""/>
    <n v="4"/>
    <n v="18"/>
    <m/>
    <s v="ORD-1250 | Kathmandu | Chicken Momo (Fried)"/>
    <s v="KATHMANDU"/>
    <s v="ime pay"/>
    <n v="210"/>
    <n v="210"/>
    <n v="50"/>
    <n v="0"/>
    <n v="260"/>
    <s v="Kathmandu"/>
    <s v="Small"/>
    <s v="Valid"/>
  </r>
  <r>
    <s v="ORD-1007"/>
    <x v="18"/>
    <s v="Rohit Limbu"/>
    <s v="9850-201462"/>
    <d v="2025-08-05T00:00:00"/>
    <s v="New"/>
    <x v="5"/>
    <s v="Sweet Home Bakery"/>
    <s v="Bakery"/>
    <s v="Sel Roti (4 pcs)"/>
    <n v="1"/>
    <s v="R-109"/>
    <x v="1"/>
    <s v="MOMO20"/>
    <s v="Delivered"/>
    <s v=""/>
    <n v="5"/>
    <n v="34"/>
    <m/>
    <s v="ORD-1007 | Lalitpur | Sel Roti (4 pcs)"/>
    <s v="LALITPUR"/>
    <s v="cash on delivery"/>
    <n v="140"/>
    <n v="140"/>
    <n v="50"/>
    <n v="28"/>
    <n v="162"/>
    <s v="Lalitpur"/>
    <s v="Small"/>
    <s v="Valid"/>
  </r>
  <r>
    <s v="ORD-1259"/>
    <x v="19"/>
    <s v="Ramesh Tamang"/>
    <s v="9868-656355"/>
    <d v="2025-08-16T00:00:00"/>
    <s v="Returning"/>
    <x v="1"/>
    <s v="Yeti Newari Bhoj"/>
    <s v="Newari Khana"/>
    <s v="Bara"/>
    <n v="2"/>
    <s v="R-106"/>
    <x v="3"/>
    <s v="WEEKEND10"/>
    <s v="Delivered"/>
    <s v=""/>
    <n v="4"/>
    <n v="33"/>
    <m/>
    <s v="ORD-1259 | Kathmandu | Bara"/>
    <s v="KATHMANDU"/>
    <s v="ime pay"/>
    <n v="160"/>
    <n v="320"/>
    <n v="50"/>
    <n v="32"/>
    <n v="338"/>
    <s v="Kathmandu"/>
    <s v="Small"/>
    <s v="Valid"/>
  </r>
  <r>
    <s v="ORD-1318"/>
    <x v="20"/>
    <s v="Anita Limbu"/>
    <s v="9824-180578"/>
    <d v="2025-10-17T00:00:00"/>
    <s v="Returning"/>
    <x v="7"/>
    <s v="Himalayan Thakali Kitchen"/>
    <s v="Thakali Set"/>
    <s v="Chicken Thakali Set"/>
    <n v="2"/>
    <s v="R-124"/>
    <x v="2"/>
    <m/>
    <m/>
    <s v=" NEED REVIEW"/>
    <n v="5"/>
    <n v="39"/>
    <m/>
    <s v="ORD-1318 | Dharan | Chicken Thakali Set"/>
    <s v="DHARAN"/>
    <s v="khalti"/>
    <n v="480"/>
    <n v="960"/>
    <n v="95"/>
    <n v="0"/>
    <n v="1055"/>
    <s v="Dharan"/>
    <s v="Large"/>
    <s v="Valid"/>
  </r>
  <r>
    <s v="ORD-1103"/>
    <x v="21"/>
    <s v="Sita Bhattarai"/>
    <s v="9851-313735"/>
    <d v="2025-08-04T00:00:00"/>
    <s v="Returning"/>
    <x v="1"/>
    <s v="Sweet Home Bakery"/>
    <s v="Bakery"/>
    <s v="Cheese Cake Slice"/>
    <n v="2"/>
    <s v="R-104"/>
    <x v="2"/>
    <m/>
    <s v="Delivered"/>
    <s v=""/>
    <n v="4"/>
    <n v="31"/>
    <m/>
    <s v="ORD-1103 | Kathmandu | Cheese Cake Slice"/>
    <s v="KATHMANDU"/>
    <s v="khalti"/>
    <n v="250"/>
    <n v="500"/>
    <n v="50"/>
    <n v="0"/>
    <n v="550"/>
    <s v="Kathmandu"/>
    <s v="Medium"/>
    <s v="Valid"/>
  </r>
  <r>
    <s v="ORD-1180"/>
    <x v="22"/>
    <s v="Pradeep Gurung"/>
    <s v="9843-520561"/>
    <d v="2025-10-31T00:00:00"/>
    <s v="Returning"/>
    <x v="3"/>
    <s v="Himalayan Thakali Kitchen"/>
    <s v="Thakali Set"/>
    <s v="Veg Thakali Set"/>
    <n v="1"/>
    <s v="R-119"/>
    <x v="1"/>
    <s v="TIHAR15"/>
    <s v="Delivered"/>
    <s v=""/>
    <n v="3"/>
    <n v="31"/>
    <m/>
    <s v="ORD-1180 | Butwal | Veg Thakali Set"/>
    <s v="BUTWAL"/>
    <s v="cash on delivery"/>
    <n v="380"/>
    <n v="380"/>
    <n v="85"/>
    <n v="57"/>
    <n v="408"/>
    <s v="Butwal"/>
    <s v="Small"/>
    <s v="Valid"/>
  </r>
  <r>
    <s v="ORD-1005"/>
    <x v="23"/>
    <s v="Suresh Shrestha"/>
    <s v="9868-773132"/>
    <d v="2025-08-04T00:00:00"/>
    <s v="New"/>
    <x v="1"/>
    <s v="Yeti Newari Bhoj"/>
    <s v="Newari Khana"/>
    <s v="Bara"/>
    <n v="1"/>
    <s v="R-106"/>
    <x v="3"/>
    <m/>
    <s v="Delivered"/>
    <s v=""/>
    <n v="4"/>
    <n v="25"/>
    <m/>
    <s v="ORD-1005 | Kathmandu | Bara"/>
    <s v="KATHMANDU"/>
    <s v="ime pay"/>
    <n v="160"/>
    <n v="160"/>
    <n v="50"/>
    <n v="0"/>
    <n v="210"/>
    <s v="Kathmandu"/>
    <s v="Small"/>
    <s v="Valid"/>
  </r>
  <r>
    <s v="ORD-1179"/>
    <x v="24"/>
    <s v="Nabin Bhattarai"/>
    <s v="9805-877065"/>
    <d v="2025-10-26T00:00:00"/>
    <s v="Returning"/>
    <x v="1"/>
    <s v="Kathmandu Momo House"/>
    <s v="Momo"/>
    <s v="Chicken Momo (Steamed)"/>
    <n v="2"/>
    <s v="R-105"/>
    <x v="4"/>
    <m/>
    <s v="Cancelled"/>
    <s v=""/>
    <m/>
    <n v="21"/>
    <s v="average, nothing special"/>
    <s v="ORD-1179 | Kathmandu | Chicken Momo (Steamed)"/>
    <s v="KATHMANDU"/>
    <s v="connectips"/>
    <n v="190"/>
    <n v="380"/>
    <n v="50"/>
    <n v="0"/>
    <n v="430"/>
    <s v="Kathmandu"/>
    <s v="Small"/>
    <s v="Valid"/>
  </r>
  <r>
    <s v="ORD-1071"/>
    <x v="25"/>
    <s v="Ramesh Poudel"/>
    <s v="9807-924402"/>
    <d v="2025-09-16T00:00:00"/>
    <s v="Returning"/>
    <x v="4"/>
    <s v="Yeti Newari Bhoj"/>
    <s v="Newari Khana"/>
    <s v="Bara"/>
    <n v="2"/>
    <s v="R-111"/>
    <x v="2"/>
    <m/>
    <s v="Cancelled"/>
    <s v=""/>
    <m/>
    <n v="40"/>
    <s v="okay experience"/>
    <s v="ORD-1071 | Bhaktapur | Bara"/>
    <s v="BHAKTAPUR"/>
    <s v="khalti"/>
    <n v="160"/>
    <n v="320"/>
    <n v="55"/>
    <n v="0"/>
    <n v="375"/>
    <s v="Bhaktapur"/>
    <s v="Small"/>
    <s v="Valid"/>
  </r>
  <r>
    <s v="ORD-1060"/>
    <x v="26"/>
    <s v="Sujan Dahal"/>
    <s v="9809-378657"/>
    <d v="2025-09-18T00:00:00"/>
    <s v="New"/>
    <x v="0"/>
    <s v="Golden Dragon Kitchen"/>
    <s v="Chinese"/>
    <s v="Chicken Manchurian"/>
    <n v="1"/>
    <s v="R-116"/>
    <x v="3"/>
    <m/>
    <s v="Delivered"/>
    <s v=""/>
    <n v="4"/>
    <n v="43"/>
    <s v="Fast delivery today"/>
    <s v="ORD-1060 | Biratnagar | chicken manchurian"/>
    <s v="BIRATNAGAR"/>
    <s v="ime pay"/>
    <n v="320"/>
    <n v="320"/>
    <n v="90"/>
    <n v="0"/>
    <n v="410"/>
    <s v="Biratnagar"/>
    <s v="Small"/>
    <s v="Valid"/>
  </r>
  <r>
    <s v="ORD-1173"/>
    <x v="27"/>
    <s v="Rajan Poudel"/>
    <s v="9808-246281"/>
    <d v="2025-09-09T00:00:00"/>
    <s v="Returning"/>
    <x v="5"/>
    <s v="Yeti Newari Bhoj"/>
    <s v="Newari Khana"/>
    <s v="Sukuti Sandheko"/>
    <n v="1"/>
    <s v="R-107"/>
    <x v="0"/>
    <m/>
    <s v="Delivered"/>
    <s v=""/>
    <n v="4"/>
    <n v="15"/>
    <m/>
    <s v="ORD-1173 | Lalitpur | Sukuti Sandheko"/>
    <s v="LALITPUR"/>
    <s v="esewa"/>
    <n v="350"/>
    <n v="350"/>
    <n v="50"/>
    <n v="0"/>
    <n v="400"/>
    <s v="Lalitpur"/>
    <s v="Small"/>
    <s v="Valid"/>
  </r>
  <r>
    <s v="ORD-1092"/>
    <x v="28"/>
    <s v="Rohit Limbu"/>
    <s v="9850-201462"/>
    <d v="2025-08-05T00:00:00"/>
    <s v="Returning"/>
    <x v="6"/>
    <s v="Quick Snacks Corner"/>
    <s v="Fast Food"/>
    <s v="Chicken Chowmein"/>
    <n v="2"/>
    <s v="R-114"/>
    <x v="0"/>
    <m/>
    <s v="Delivered"/>
    <s v=""/>
    <n v="5"/>
    <n v="36"/>
    <s v="Fast delivery today"/>
    <s v="ORD-1092 | Pokhara | Chicken Chowmein"/>
    <s v="POKHARA"/>
    <s v="esewa"/>
    <n v="250"/>
    <n v="500"/>
    <n v="70"/>
    <n v="0"/>
    <n v="570"/>
    <s v="Pokhara"/>
    <s v="Medium"/>
    <s v="Valid"/>
  </r>
  <r>
    <s v="ORD-1056"/>
    <x v="29"/>
    <s v="Ramesh Poudel"/>
    <s v="9807-924402"/>
    <d v="2025-09-16T00:00:00"/>
    <s v="New"/>
    <x v="4"/>
    <s v="Kathmandu Momo House"/>
    <s v="Momo"/>
    <s v="Veg Momo (Steamed)"/>
    <n v="3"/>
    <s v="R-111"/>
    <x v="3"/>
    <s v="MOMO20"/>
    <s v="Delivered"/>
    <s v=""/>
    <n v="5"/>
    <n v="30"/>
    <s v="packaging was nice"/>
    <s v="ORD-1056 | Bhaktapur | Veg Momo (Steamed)"/>
    <s v="BHAKTAPUR"/>
    <s v="ime pay"/>
    <n v="150"/>
    <n v="450"/>
    <n v="55"/>
    <n v="90"/>
    <n v="415"/>
    <s v="Bhaktapur"/>
    <s v="Small"/>
    <s v="Valid"/>
  </r>
  <r>
    <s v="ORD-1142"/>
    <x v="10"/>
    <s v="Sunita Tamang"/>
    <s v="9894-130787"/>
    <d v="2025-09-22T00:00:00"/>
    <s v="Returning"/>
    <x v="2"/>
    <s v="Golden Dragon Kitchen"/>
    <s v="Chinese"/>
    <s v="chicken fried rice"/>
    <n v="2"/>
    <s v="R-123"/>
    <x v="0"/>
    <s v="TIHAR15"/>
    <s v="Delivered"/>
    <s v=""/>
    <n v="4"/>
    <n v="36"/>
    <m/>
    <s v="ORD-1142 | Chitwan | chicken fried rice"/>
    <s v="CHITWAN"/>
    <s v="esewa"/>
    <n v="260"/>
    <n v="520"/>
    <n v="80"/>
    <n v="78"/>
    <n v="522"/>
    <s v="Chitwan"/>
    <s v="Medium"/>
    <s v="Valid"/>
  </r>
  <r>
    <s v="ORD-1321"/>
    <x v="30"/>
    <s v="Rohit Limbu"/>
    <s v="9850-201462"/>
    <d v="2025-08-05T00:00:00"/>
    <s v="Returning"/>
    <x v="0"/>
    <s v="Newa Kitchen"/>
    <s v="Newari Khana"/>
    <s v="Sukuti Sandheko"/>
    <n v="1"/>
    <s v="R-116"/>
    <x v="1"/>
    <m/>
    <s v="Delivered"/>
    <s v=""/>
    <m/>
    <n v="26"/>
    <s v="average, nothing special"/>
    <s v="ORD-1321 | Biratnagar | Sukuti Sandheko"/>
    <s v="BIRATNAGAR"/>
    <s v="cash on delivery"/>
    <n v="350"/>
    <n v="350"/>
    <n v="90"/>
    <n v="0"/>
    <n v="440"/>
    <s v="Biratnagar"/>
    <s v="Small"/>
    <s v="Valid"/>
  </r>
  <r>
    <s v="ORD-1135"/>
    <x v="31"/>
    <s v="Rina Lama"/>
    <s v="9883-645074"/>
    <d v="2025-10-27T00:00:00"/>
    <s v="New"/>
    <x v="3"/>
    <s v="Yeti Newari Bhoj"/>
    <s v="Newari Khana"/>
    <s v="  Chatamari"/>
    <n v="1"/>
    <s v="R-120"/>
    <x v="0"/>
    <s v="TIHAR15"/>
    <s v="Delivered"/>
    <s v=""/>
    <n v="2"/>
    <n v="42"/>
    <s v="delivery was very late"/>
    <s v="ORD-1135 | Butwal |   Chatamari"/>
    <s v="BUTWAL"/>
    <s v="esewa"/>
    <n v="210"/>
    <n v="210"/>
    <n v="85"/>
    <n v="31.5"/>
    <n v="263.5"/>
    <s v="Butwal"/>
    <s v="Small"/>
    <s v="Valid"/>
  </r>
  <r>
    <s v="ORD-1252"/>
    <x v="32"/>
    <s v="Sita Khadka"/>
    <s v="9813-613412"/>
    <d v="2025-12-09T00:00:00"/>
    <s v="Returning"/>
    <x v="0"/>
    <s v="Wok Point"/>
    <s v="Chinese"/>
    <s v="chicken fried rice"/>
    <n v="2"/>
    <s v="R-117"/>
    <x v="0"/>
    <s v="MOMO20"/>
    <s v="Delivered"/>
    <s v=""/>
    <n v="3"/>
    <n v="36"/>
    <m/>
    <s v="ORD-1252 | Biratnagar | Chicken Fried Rice"/>
    <s v="BIRATNAGAR"/>
    <s v="esewa"/>
    <n v="260"/>
    <n v="520"/>
    <n v="90"/>
    <n v="104"/>
    <n v="506"/>
    <s v="Biratnagar"/>
    <s v="Medium"/>
    <s v="Valid"/>
  </r>
  <r>
    <s v="ORD-1107"/>
    <x v="33"/>
    <s v="Anita Magar"/>
    <s v="9860-181590"/>
    <d v="2025-10-23T00:00:00"/>
    <s v="New"/>
    <x v="6"/>
    <s v="Kathmandu Momo House"/>
    <s v="Momo"/>
    <s v="Chicken Momo (Fried)"/>
    <n v="1"/>
    <s v="R-115"/>
    <x v="0"/>
    <s v="DASHAIN10"/>
    <s v="Delivered"/>
    <s v=""/>
    <n v="3"/>
    <n v="36"/>
    <m/>
    <s v="ORD-1107 | Pokhara | Chicken Momo (Fried)"/>
    <s v="POKHARA"/>
    <s v="esewa"/>
    <n v="210"/>
    <n v="210"/>
    <n v="70"/>
    <n v="21"/>
    <n v="259"/>
    <s v="Pokhara"/>
    <s v="Small"/>
    <s v="Valid"/>
  </r>
  <r>
    <s v="ORD-1058"/>
    <x v="26"/>
    <s v="Bishal Basnet"/>
    <s v="9878-245040"/>
    <d v="2025-09-16T00:00:00"/>
    <s v="New"/>
    <x v="0"/>
    <s v="Thakali Ghar"/>
    <s v="Thakali Set"/>
    <s v="  Chicken Thakali Set"/>
    <n v="3"/>
    <s v="R-117"/>
    <x v="0"/>
    <m/>
    <s v="Delivered"/>
    <s v=""/>
    <n v="5"/>
    <n v="50"/>
    <s v="packaging was nice"/>
    <s v="ORD-1058 | Biratnagar |   Chicken Thakali Set"/>
    <s v="BIRATNAGAR"/>
    <s v="esewa"/>
    <n v="480"/>
    <n v="1440"/>
    <n v="90"/>
    <n v="0"/>
    <n v="1530"/>
    <s v="Biratnagar"/>
    <s v="Large"/>
    <s v="Valid"/>
  </r>
  <r>
    <s v="ORD-1017"/>
    <x v="34"/>
    <s v="Kabita Adhikari"/>
    <s v="9838-831701"/>
    <d v="2025-08-12T00:00:00"/>
    <s v="New"/>
    <x v="1"/>
    <s v="Cafe Cup"/>
    <s v="Beverages"/>
    <s v="Milk Tea"/>
    <n v="2"/>
    <s v="R-105"/>
    <x v="0"/>
    <m/>
    <s v="Cancelled"/>
    <s v=""/>
    <m/>
    <n v="34"/>
    <m/>
    <s v="ORD-1017 | Kathmandu | Milk Tea"/>
    <s v="KATHMANDU"/>
    <s v="esewa"/>
    <n v="60"/>
    <n v="120"/>
    <n v="50"/>
    <n v="0"/>
    <n v="170"/>
    <s v="Kathmandu"/>
    <s v="Small"/>
    <s v="Valid"/>
  </r>
  <r>
    <s v="ORD-1317"/>
    <x v="20"/>
    <s v="Sarita Thapa"/>
    <s v="9853-663062"/>
    <d v="2025-12-12T00:00:00"/>
    <s v="Returning"/>
    <x v="5"/>
    <s v="Chiya Adda"/>
    <s v="Beverages"/>
    <s v="  Black Coffee"/>
    <n v="2"/>
    <s v="R-108"/>
    <x v="0"/>
    <s v="MOMO20"/>
    <s v="Delivered"/>
    <s v=""/>
    <n v="4"/>
    <n v="32"/>
    <m/>
    <s v="ORD-1317 | Lalitpur |   Black Coffee"/>
    <s v="LALITPUR"/>
    <s v="esewa"/>
    <n v="90"/>
    <n v="180"/>
    <n v="50"/>
    <n v="36"/>
    <n v="194"/>
    <s v="Lalitpur"/>
    <s v="Small"/>
    <s v="Valid"/>
  </r>
  <r>
    <s v="ORD-1169"/>
    <x v="35"/>
    <s v="Nisha Chhetri"/>
    <s v="9871-834170"/>
    <d v="2025-11-03T00:00:00"/>
    <s v="New"/>
    <x v="5"/>
    <s v="Himalayan Thakali Kitchen"/>
    <s v="Thakali Set"/>
    <s v="Chicken Thakali Set"/>
    <n v="1"/>
    <s v="R-107"/>
    <x v="1"/>
    <s v="WELCOME50"/>
    <m/>
    <s v=" NEED REVIEW"/>
    <n v="4"/>
    <n v="29"/>
    <s v="packaging was nice"/>
    <s v="ORD-1169 | Lalitpur | Chicken Thakali Set"/>
    <s v="LALITPUR"/>
    <s v="cash on delivery"/>
    <n v="480"/>
    <n v="480"/>
    <n v="50"/>
    <n v="50"/>
    <n v="480"/>
    <s v="Lalitpur"/>
    <s v="Small"/>
    <s v="Valid"/>
  </r>
  <r>
    <s v="ORD-1309"/>
    <x v="2"/>
    <s v="Nisha Chhetri"/>
    <s v="9871-834170"/>
    <d v="2025-11-03T00:00:00"/>
    <s v="Returning"/>
    <x v="0"/>
    <s v="Bhattarai Momo Center"/>
    <s v="Momo"/>
    <s v="Chicken Momo (Fried)"/>
    <n v="2"/>
    <s v="R-116"/>
    <x v="1"/>
    <s v="WELCOME50"/>
    <s v="Delivered"/>
    <s v=""/>
    <n v="4"/>
    <n v="36"/>
    <m/>
    <s v="ORD-1309 | Biratnagar | Chicken Momo (Fried)"/>
    <s v="BIRATNAGAR"/>
    <s v="cash on delivery"/>
    <n v="210"/>
    <n v="420"/>
    <n v="90"/>
    <n v="50"/>
    <n v="460"/>
    <s v="Biratnagar"/>
    <s v="Small"/>
    <s v="Valid"/>
  </r>
  <r>
    <s v="ORD-1073"/>
    <x v="36"/>
    <s v="Gopal Shakya"/>
    <s v="9821-993518"/>
    <d v="2025-09-30T00:00:00"/>
    <s v="New"/>
    <x v="5"/>
    <s v="Fast Bites"/>
    <s v="Fast Food"/>
    <s v="Chicken Chowmein"/>
    <n v="1"/>
    <s v="R-107"/>
    <x v="0"/>
    <s v="DASHAIN10"/>
    <s v="Delivered"/>
    <s v=""/>
    <n v="5"/>
    <n v="30"/>
    <m/>
    <s v="ORD-1073 | Lalitpur | Chicken Chowmein"/>
    <s v="LALITPUR"/>
    <s v="esewa"/>
    <n v="250"/>
    <n v="250"/>
    <n v="50"/>
    <n v="25"/>
    <n v="275"/>
    <s v="Lalitpur"/>
    <s v="Small"/>
    <s v="Valid"/>
  </r>
  <r>
    <s v="ORD-1226"/>
    <x v="37"/>
    <s v="Sarita Thapa"/>
    <s v="9853-663062"/>
    <d v="2025-12-12T00:00:00"/>
    <s v="New"/>
    <x v="7"/>
    <s v="Kathmandu Momo House"/>
    <s v="Momo"/>
    <s v="Veg Momo (Fried)"/>
    <n v="1"/>
    <s v="R-124"/>
    <x v="0"/>
    <m/>
    <s v="Delivered"/>
    <s v=""/>
    <n v="5"/>
    <n v="42"/>
    <m/>
    <s v="ORD-1226 | Dharan | Veg Momo (Fried)"/>
    <s v="DHARAN"/>
    <s v="esewa"/>
    <n v="160"/>
    <n v="160"/>
    <n v="95"/>
    <n v="0"/>
    <n v="255"/>
    <s v="Dharan"/>
    <s v="Small"/>
    <s v="Valid"/>
  </r>
  <r>
    <s v="ORD-1225"/>
    <x v="38"/>
    <s v="Anish Tamang"/>
    <s v="9821-387837"/>
    <d v="2025-08-28T00:00:00"/>
    <s v="Returning"/>
    <x v="6"/>
    <s v="Sekuwa Point"/>
    <s v="Sekuwa"/>
    <s v="Buff Sekuwa"/>
    <n v="1"/>
    <s v="R-113"/>
    <x v="2"/>
    <m/>
    <s v="Delivered"/>
    <s v=""/>
    <m/>
    <n v="31"/>
    <m/>
    <s v="ORD-1225 | Pokhara | Buff Sekuwa"/>
    <s v="POKHARA"/>
    <s v="khalti"/>
    <n v="380"/>
    <n v="380"/>
    <n v="70"/>
    <n v="0"/>
    <n v="450"/>
    <s v="Pokhara"/>
    <s v="Small"/>
    <s v="Valid"/>
  </r>
  <r>
    <s v="ORD-1054"/>
    <x v="9"/>
    <s v="Rajan Basnet"/>
    <s v="9897-465075"/>
    <d v="2025-09-11T00:00:00"/>
    <s v="New"/>
    <x v="6"/>
    <s v="Cafe Cup"/>
    <s v="Beverages"/>
    <s v="LEMON SODA"/>
    <n v="2"/>
    <s v="R-112"/>
    <x v="1"/>
    <m/>
    <s v="Returned"/>
    <s v=""/>
    <m/>
    <n v="25"/>
    <s v="fine I guess"/>
    <s v="ORD-1054 | Pokhara | LEMON SODA"/>
    <s v="POKHARA"/>
    <s v="cash on delivery"/>
    <n v="100"/>
    <n v="200"/>
    <n v="70"/>
    <n v="0"/>
    <n v="270"/>
    <s v="Pokhara"/>
    <s v="Small"/>
    <s v="Valid"/>
  </r>
  <r>
    <s v="ORD-1166"/>
    <x v="5"/>
    <s v="Rajan Shrestha"/>
    <s v="9868-493407"/>
    <d v="2025-11-02T00:00:00"/>
    <s v="New"/>
    <x v="5"/>
    <s v="Momo Hut"/>
    <s v="Momo"/>
    <s v="Jhol Momo"/>
    <n v="3"/>
    <s v="R-108"/>
    <x v="2"/>
    <s v="TIHAR15"/>
    <s v="Delivered"/>
    <s v=""/>
    <n v="4"/>
    <n v="27"/>
    <s v="Tasty and fresh, loved it"/>
    <s v="ORD-1166 | Lalitpur | Jhol Momo"/>
    <s v="LALITPUR"/>
    <s v="khalti"/>
    <n v="200"/>
    <n v="600"/>
    <n v="50"/>
    <n v="90"/>
    <n v="560"/>
    <s v="Lalitpur"/>
    <s v="Medium"/>
    <s v="Valid"/>
  </r>
  <r>
    <s v="ORD-1097"/>
    <x v="39"/>
    <s v="Bishal Bista"/>
    <s v="9899-075116"/>
    <d v="2025-08-11T00:00:00"/>
    <s v="Returning"/>
    <x v="0"/>
    <s v="Fast Bites"/>
    <s v="Fast Food"/>
    <s v="Veg Burger"/>
    <n v="2"/>
    <s v="R-117"/>
    <x v="2"/>
    <m/>
    <s v="Returned"/>
    <s v=""/>
    <m/>
    <n v="40"/>
    <m/>
    <s v="ORD-1097 | Biratnagar | Veg Burger"/>
    <s v="BIRATNAGAR"/>
    <s v="khalti"/>
    <n v="220"/>
    <n v="440"/>
    <n v="90"/>
    <n v="0"/>
    <n v="530"/>
    <s v="Biratnagar"/>
    <s v="Medium"/>
    <s v="Valid"/>
  </r>
  <r>
    <s v="ORD-1201"/>
    <x v="40"/>
    <s v="Suresh Magar"/>
    <s v="9822-791805"/>
    <d v="2025-08-02T00:00:00"/>
    <s v="Returning"/>
    <x v="6"/>
    <s v="Cafe Cup"/>
    <s v="Beverages"/>
    <s v="Black Coffee"/>
    <n v="1"/>
    <s v="R-112"/>
    <x v="0"/>
    <s v="MOMO20"/>
    <s v="Delivered"/>
    <s v=""/>
    <n v="5"/>
    <n v="29"/>
    <s v="packaging was nice"/>
    <s v="ORD-1201 | Pokhara | Black Coffee"/>
    <s v="POKHARA"/>
    <s v="esewa"/>
    <n v="90"/>
    <n v="90"/>
    <n v="70"/>
    <n v="18"/>
    <n v="142"/>
    <s v="Pokhara"/>
    <s v="Small"/>
    <s v="Valid"/>
  </r>
  <r>
    <s v="ORD-1128"/>
    <x v="41"/>
    <s v="Ramesh Lama"/>
    <s v="9853-705656"/>
    <d v="2025-08-08T00:00:00"/>
    <s v="New"/>
    <x v="1"/>
    <s v="Sekuwa Point"/>
    <s v="Sekuwa"/>
    <s v="  Buff Sekuwa"/>
    <n v="1"/>
    <s v="R-104"/>
    <x v="2"/>
    <m/>
    <s v="Delivered"/>
    <s v=""/>
    <n v="4"/>
    <n v="39"/>
    <s v="good food, will order again"/>
    <s v="ORD-1128 | Kathmandu |   Buff Sekuwa"/>
    <s v="KATHMANDU"/>
    <s v="khalti"/>
    <n v="380"/>
    <n v="380"/>
    <n v="50"/>
    <n v="0"/>
    <n v="430"/>
    <s v="Kathmandu"/>
    <s v="Small"/>
    <s v="Valid"/>
  </r>
  <r>
    <s v="ORD-1224"/>
    <x v="42"/>
    <s v="Sabina Chhetri"/>
    <s v="9862-833125"/>
    <d v="2025-11-01T00:00:00"/>
    <s v="Returning"/>
    <x v="4"/>
    <s v="Himalayan Thakali Kitchen"/>
    <s v="Thakali Set"/>
    <s v="Chicken Thakali Set"/>
    <n v="1"/>
    <s v="R-111"/>
    <x v="0"/>
    <s v="FIRSTORDER"/>
    <s v="Delivered"/>
    <s v=""/>
    <n v="4"/>
    <n v="33"/>
    <m/>
    <s v="ORD-1224 | Bhaktapur | Chicken Thakali Set"/>
    <s v="BHAKTAPUR"/>
    <s v="esewa"/>
    <n v="480"/>
    <n v="480"/>
    <n v="55"/>
    <n v="100"/>
    <n v="435"/>
    <s v="Bhaktapur"/>
    <s v="Small"/>
    <s v="Expired Code Used"/>
  </r>
  <r>
    <s v="ORD-1271"/>
    <x v="43"/>
    <s v="Bikash Maharjan"/>
    <s v="9868-288909"/>
    <d v="2025-10-26T00:00:00"/>
    <s v="Returning"/>
    <x v="0"/>
    <s v="Newa Kitchen"/>
    <s v="Newari Khana"/>
    <s v="Yomari"/>
    <n v="1"/>
    <s v="R-117"/>
    <x v="1"/>
    <s v="WEEKEND10"/>
    <s v="Delivered"/>
    <s v=""/>
    <n v="4"/>
    <n v="40"/>
    <m/>
    <s v="ORD-1271 | Biratnagar | Yomari"/>
    <s v="BIRATNAGAR"/>
    <s v="cash on delivery"/>
    <n v="180"/>
    <n v="180"/>
    <n v="90"/>
    <n v="18"/>
    <n v="252"/>
    <s v="Biratnagar"/>
    <s v="Small"/>
    <s v="Valid"/>
  </r>
  <r>
    <s v="ORD-1096"/>
    <x v="39"/>
    <s v="Nirmala Dahal"/>
    <s v="9814-865465"/>
    <d v="2025-10-18T00:00:00"/>
    <s v="New"/>
    <x v="5"/>
    <s v="Himalayan Thakali Kitchen"/>
    <s v="Thakali Set"/>
    <s v="Chicken Thakali Set"/>
    <n v="2"/>
    <s v="R-108"/>
    <x v="0"/>
    <m/>
    <s v="Delivered"/>
    <s v=""/>
    <n v="5"/>
    <n v="36"/>
    <m/>
    <s v="ORD-1096 | Lalitpur | Chicken Thakali Set"/>
    <s v="LALITPUR"/>
    <s v="esewa"/>
    <n v="480"/>
    <n v="960"/>
    <n v="50"/>
    <n v="0"/>
    <n v="1010"/>
    <s v="Lalitpur"/>
    <s v="Large"/>
    <s v="Valid"/>
  </r>
  <r>
    <s v="ORD-1131"/>
    <x v="44"/>
    <s v="Sarita Shakya"/>
    <s v="9859-952890"/>
    <d v="2025-10-27T00:00:00"/>
    <s v="New"/>
    <x v="7"/>
    <s v="Golden Dragon Kitchen"/>
    <s v="Chinese"/>
    <s v="Veg Chopsuey"/>
    <n v="3"/>
    <s v="R-124"/>
    <x v="3"/>
    <s v="TIHAR15"/>
    <s v="Delivered"/>
    <s v=""/>
    <n v="5"/>
    <n v="28"/>
    <m/>
    <s v="ORD-1131 | Dharan | Veg Chopsuey"/>
    <s v="DHARAN"/>
    <s v="ime pay"/>
    <n v="260"/>
    <n v="780"/>
    <n v="95"/>
    <n v="117"/>
    <n v="758"/>
    <s v="Dharan"/>
    <s v="Medium"/>
    <s v="Valid"/>
  </r>
  <r>
    <s v="ORD-1280"/>
    <x v="45"/>
    <s v="Rita Gurung"/>
    <s v="9874-137484"/>
    <d v="2025-10-17T00:00:00"/>
    <s v="Returning"/>
    <x v="0"/>
    <s v="Cafe Cup"/>
    <s v="Beverages"/>
    <s v="LEMON SODA"/>
    <n v="2"/>
    <s v="R-118"/>
    <x v="0"/>
    <s v="MOMO20"/>
    <s v="Returned"/>
    <s v=""/>
    <m/>
    <n v="34"/>
    <m/>
    <s v="ORD-1280 | Biratnagar | Lemon Soda"/>
    <s v="BIRATNAGAR"/>
    <s v="esewa"/>
    <n v="100"/>
    <n v="200"/>
    <n v="90"/>
    <n v="40"/>
    <n v="250"/>
    <s v="Biratnagar"/>
    <s v="Small"/>
    <s v="Valid"/>
  </r>
  <r>
    <s v="ORD-1024"/>
    <x v="46"/>
    <s v="Gopal Karki"/>
    <s v="9869-919220"/>
    <d v="2025-08-19T00:00:00"/>
    <s v="New"/>
    <x v="1"/>
    <s v="Quick Snacks Corner"/>
    <s v="Fast Food"/>
    <s v="chicken burger"/>
    <n v="2"/>
    <s v="R-105"/>
    <x v="3"/>
    <m/>
    <s v="Returned"/>
    <s v=""/>
    <m/>
    <n v="31"/>
    <m/>
    <s v="ORD-1024 | Kathmandu | chicken burger"/>
    <s v="KATHMANDU"/>
    <s v="ime pay"/>
    <n v="280"/>
    <n v="560"/>
    <n v="50"/>
    <n v="0"/>
    <n v="610"/>
    <s v="Kathmandu"/>
    <s v="Medium"/>
    <s v="Valid"/>
  </r>
  <r>
    <s v="ORD-1300"/>
    <x v="47"/>
    <s v="Bishal Bista"/>
    <s v="9899-075116"/>
    <d v="2025-08-11T00:00:00"/>
    <s v="Returning"/>
    <x v="1"/>
    <s v="Himalayan Bakers"/>
    <s v="Bakery"/>
    <s v="Barfi (5 pcs)"/>
    <n v="2"/>
    <s v="R-106"/>
    <x v="0"/>
    <m/>
    <s v="Delivered"/>
    <s v=""/>
    <n v="5"/>
    <n v="20"/>
    <s v="best momo in town"/>
    <s v="ORD-1300 | Kathmandu | Barfi (5 pcs)"/>
    <s v="KATHMANDU"/>
    <s v="esewa"/>
    <n v="220"/>
    <n v="440"/>
    <n v="50"/>
    <n v="0"/>
    <n v="490"/>
    <s v="Kathmandu"/>
    <s v="Small"/>
    <s v="Valid"/>
  </r>
  <r>
    <s v="ORD-1273"/>
    <x v="48"/>
    <s v="Ramesh Poudel"/>
    <s v="9807-924402"/>
    <d v="2025-09-16T00:00:00"/>
    <s v="Returning"/>
    <x v="1"/>
    <s v="Quick Snacks Corner"/>
    <s v="Fast Food"/>
    <s v="Veg Burger"/>
    <n v="2"/>
    <s v="R-102"/>
    <x v="1"/>
    <m/>
    <s v="Returned"/>
    <s v=""/>
    <m/>
    <n v="25"/>
    <s v="average, nothing special"/>
    <s v="ORD-1273 | Kathmandu | Veg Burger"/>
    <s v="KATHMANDU"/>
    <s v="cash on delivery"/>
    <n v="220"/>
    <n v="440"/>
    <n v="50"/>
    <n v="0"/>
    <n v="490"/>
    <s v="Kathmandu"/>
    <s v="Small"/>
    <s v="Valid"/>
  </r>
  <r>
    <s v="ORD-1118"/>
    <x v="8"/>
    <s v="Bikash Limbu"/>
    <s v="9882-651233"/>
    <d v="2025-10-23T00:00:00"/>
    <s v="New"/>
    <x v="0"/>
    <s v="Quick Snacks Corner"/>
    <s v="Fast Food"/>
    <s v="Chicken Pizza"/>
    <n v="2"/>
    <s v="R-117"/>
    <x v="1"/>
    <s v="DASHAIN10"/>
    <s v="Delivered"/>
    <s v=""/>
    <n v="5"/>
    <n v="28"/>
    <s v="best momo in town"/>
    <s v="ORD-1118 | Biratnagar | chicken pizza"/>
    <s v="BIRATNAGAR"/>
    <s v="cash on delivery"/>
    <n v="650"/>
    <n v="1300"/>
    <n v="90"/>
    <n v="130"/>
    <n v="1260"/>
    <s v="Biratnagar"/>
    <s v="Large"/>
    <s v="Valid"/>
  </r>
  <r>
    <s v="ORD-1120"/>
    <x v="8"/>
    <s v="Bandana Khadka"/>
    <s v="9874-911862"/>
    <d v="2025-10-25T00:00:00"/>
    <s v="New"/>
    <x v="1"/>
    <s v="Sweet Home Bakery"/>
    <s v="Bakery"/>
    <s v="Chocolate Pastry"/>
    <n v="3"/>
    <s v="R-104"/>
    <x v="3"/>
    <s v="DASHAIN10"/>
    <s v="Delivered"/>
    <s v=""/>
    <n v="4"/>
    <n v="37"/>
    <s v="Tasty and fresh, loved it"/>
    <s v="ORD-1120 | Kathmandu | Chocolate Pastry"/>
    <s v="KATHMANDU"/>
    <s v="ime pay"/>
    <n v="150"/>
    <n v="450"/>
    <n v="50"/>
    <n v="45"/>
    <n v="455"/>
    <s v="Kathmandu"/>
    <s v="Small"/>
    <s v="Valid"/>
  </r>
  <r>
    <s v="ORD-1227"/>
    <x v="37"/>
    <s v="Milan Poudel"/>
    <s v="9820-109832"/>
    <d v="2025-09-21T00:00:00"/>
    <s v="Returning"/>
    <x v="1"/>
    <s v="Newa Kitchen"/>
    <s v="Newari Khana"/>
    <s v="Bara"/>
    <n v="4"/>
    <s v="R-105"/>
    <x v="0"/>
    <m/>
    <s v="Delivered"/>
    <s v=""/>
    <n v="5"/>
    <n v="31"/>
    <m/>
    <s v="ORD-1227 | Kathmandu | BARA"/>
    <s v="KATHMANDU"/>
    <s v="esewa"/>
    <n v="160"/>
    <n v="640"/>
    <n v="50"/>
    <n v="0"/>
    <n v="690"/>
    <s v="Kathmandu"/>
    <s v="Medium"/>
    <s v="Valid"/>
  </r>
  <r>
    <s v="ORD-1098"/>
    <x v="49"/>
    <s v="Sagar Tamang"/>
    <s v="9820-297299"/>
    <d v="2025-08-02T00:00:00"/>
    <s v="Returning"/>
    <x v="1"/>
    <s v="Sweet Home Bakery"/>
    <s v="Bakery"/>
    <s v="Barfi (5 pcs)"/>
    <n v="4"/>
    <s v="R-104"/>
    <x v="0"/>
    <s v="DASHAIN10"/>
    <s v="Delivered"/>
    <s v=""/>
    <n v="4"/>
    <n v="30"/>
    <s v="packaging was nice"/>
    <s v="ORD-1098 | Kathmandu | Barfi (5 pcs)"/>
    <s v="KATHMANDU"/>
    <s v="esewa"/>
    <n v="220"/>
    <n v="880"/>
    <n v="50"/>
    <n v="88"/>
    <n v="842"/>
    <s v="Kathmandu"/>
    <s v="Medium"/>
    <s v="Valid"/>
  </r>
  <r>
    <s v="ORD-1020"/>
    <x v="50"/>
    <s v="Kiran Maharjan"/>
    <s v="9817-180023"/>
    <d v="2025-08-17T00:00:00"/>
    <s v="New"/>
    <x v="2"/>
    <s v="Fast Bites"/>
    <s v="Fast Food"/>
    <s v="Chicken Burger"/>
    <n v="3"/>
    <s v="R-123"/>
    <x v="0"/>
    <m/>
    <s v="Returned"/>
    <s v=""/>
    <m/>
    <n v="56"/>
    <s v="fine I guess"/>
    <s v="ORD-1020 | Chitwan | Chicken Burger"/>
    <s v="CHITWAN"/>
    <s v="esewa"/>
    <n v="280"/>
    <n v="840"/>
    <n v="80"/>
    <n v="0"/>
    <n v="920"/>
    <s v="Chitwan"/>
    <s v="Medium"/>
    <s v="Valid"/>
  </r>
  <r>
    <s v="ORD-1136"/>
    <x v="31"/>
    <s v="Milan Thapa"/>
    <s v="9809-773797"/>
    <d v="2025-09-09T00:00:00"/>
    <s v="Returning"/>
    <x v="6"/>
    <s v="Wok Point"/>
    <s v="Chinese"/>
    <s v="Veg Chopsuey"/>
    <n v="3"/>
    <s v="R-112"/>
    <x v="2"/>
    <m/>
    <s v="Delivered"/>
    <s v=""/>
    <n v="4"/>
    <n v="37"/>
    <m/>
    <s v="ORD-1136 | Pokhara | Veg Chopsuey"/>
    <s v="POKHARA"/>
    <s v="khalti"/>
    <n v="260"/>
    <n v="780"/>
    <n v="70"/>
    <n v="0"/>
    <n v="850"/>
    <s v="Pokhara"/>
    <s v="Medium"/>
    <s v="Valid"/>
  </r>
  <r>
    <s v="ORD-1264"/>
    <x v="51"/>
    <s v="Sushmita Acharya"/>
    <s v="9883-478878"/>
    <d v="2025-09-28T00:00:00"/>
    <s v="Returning"/>
    <x v="6"/>
    <s v="Fast Bites"/>
    <s v="Fast Food"/>
    <s v="Veg Burger"/>
    <n v="3"/>
    <s v="R-115"/>
    <x v="0"/>
    <m/>
    <s v="Cancelled"/>
    <s v=""/>
    <m/>
    <n v="39"/>
    <s v="average, nothing special"/>
    <s v="ORD-1264 | Pokhara | Veg Burger"/>
    <s v="POKHARA"/>
    <s v="esewa"/>
    <n v="220"/>
    <n v="660"/>
    <n v="70"/>
    <n v="0"/>
    <n v="730"/>
    <s v="Pokhara"/>
    <s v="Medium"/>
    <s v="Valid"/>
  </r>
  <r>
    <s v="ORD-1062"/>
    <x v="52"/>
    <s v="Nisha Shakya"/>
    <s v="9866-661760"/>
    <d v="2025-09-17T00:00:00"/>
    <s v="Returning"/>
    <x v="0"/>
    <s v="Fast Bites"/>
    <s v="Fast Food"/>
    <s v="Chicken Pizza"/>
    <n v="1"/>
    <s v="R-117"/>
    <x v="4"/>
    <m/>
    <s v="Delivered"/>
    <s v=""/>
    <n v="5"/>
    <n v="53"/>
    <s v="good food, will order again"/>
    <s v="ORD-1062 | Biratnagar | Chicken Pizza"/>
    <s v="BIRATNAGAR"/>
    <s v="connectips"/>
    <n v="650"/>
    <n v="650"/>
    <n v="90"/>
    <n v="0"/>
    <n v="740"/>
    <s v="Biratnagar"/>
    <s v="Medium"/>
    <s v="Valid"/>
  </r>
  <r>
    <s v="ORD-1158"/>
    <x v="53"/>
    <s v="Puja Acharya"/>
    <s v="9879-711471"/>
    <d v="2025-10-31T00:00:00"/>
    <s v="New"/>
    <x v="0"/>
    <s v="Himalayan Bakers"/>
    <s v="Bakery"/>
    <s v="Chocolate Pastry"/>
    <n v="1"/>
    <s v="R-118"/>
    <x v="0"/>
    <m/>
    <s v="Cancelled"/>
    <s v=""/>
    <m/>
    <n v="49"/>
    <m/>
    <s v="ORD-1158 | Biratnagar | Chocolate Pastry"/>
    <s v="BIRATNAGAR"/>
    <s v="esewa"/>
    <n v="150"/>
    <n v="150"/>
    <n v="90"/>
    <n v="0"/>
    <n v="240"/>
    <s v="Biratnagar"/>
    <s v="Small"/>
    <s v="Valid"/>
  </r>
  <r>
    <s v="ORD-1130"/>
    <x v="44"/>
    <s v="Sarita Maharjan"/>
    <s v="9828-288072"/>
    <d v="2025-10-26T00:00:00"/>
    <s v="New"/>
    <x v="5"/>
    <s v="Thakali Ghar"/>
    <s v="Thakali Set"/>
    <s v="MUTTON THAKALI SET"/>
    <n v="1"/>
    <s v="R-108"/>
    <x v="1"/>
    <m/>
    <s v="Delivered"/>
    <s v=""/>
    <n v="5"/>
    <n v="27"/>
    <s v="quality was great as always"/>
    <s v="ORD-1130 | Lalitpur | MUTTON THAKALI SET"/>
    <s v="LALITPUR"/>
    <s v="cash on delivery"/>
    <n v="650"/>
    <n v="650"/>
    <n v="50"/>
    <n v="0"/>
    <n v="700"/>
    <s v="Lalitpur"/>
    <s v="Medium"/>
    <s v="Valid"/>
  </r>
  <r>
    <s v="ORD-1045"/>
    <x v="11"/>
    <s v="Manisha Rai"/>
    <s v="9814-913167"/>
    <d v="2025-08-26T00:00:00"/>
    <s v="Returning"/>
    <x v="5"/>
    <s v="Sweet Home Bakery"/>
    <s v="Bakery"/>
    <s v="Chocolate Pastry  "/>
    <n v="2"/>
    <s v="R-107"/>
    <x v="1"/>
    <m/>
    <s v="Delivered"/>
    <s v=""/>
    <n v="4"/>
    <n v="24"/>
    <m/>
    <s v="ORD-1045 | Lalitpur | Chocolate Pastry  "/>
    <s v="LALITPUR"/>
    <s v="cash on delivery"/>
    <n v="150"/>
    <n v="300"/>
    <n v="50"/>
    <n v="0"/>
    <n v="350"/>
    <s v="Lalitpur"/>
    <s v="Small"/>
    <s v="Valid"/>
  </r>
  <r>
    <s v="ORD-1260"/>
    <x v="54"/>
    <s v="Kiran Lama"/>
    <s v="9800-267511"/>
    <d v="2025-10-17T00:00:00"/>
    <s v="Returning"/>
    <x v="7"/>
    <s v="Golden Dragon Kitchen"/>
    <s v="Chinese"/>
    <s v="Chicken Manchurian"/>
    <n v="4"/>
    <s v="R-124"/>
    <x v="0"/>
    <m/>
    <s v="Cancelled"/>
    <s v=""/>
    <m/>
    <n v="2"/>
    <s v="average, nothing special"/>
    <s v="ORD-1260 | Dharan | Chicken Manchurian"/>
    <s v="DHARAN"/>
    <s v="esewa"/>
    <n v="320"/>
    <n v="1280"/>
    <n v="95"/>
    <n v="0"/>
    <n v="1375"/>
    <s v="Dharan"/>
    <s v="Large"/>
    <s v="Valid"/>
  </r>
  <r>
    <s v="ORD-1048"/>
    <x v="55"/>
    <s v="Pradeep Maharjan"/>
    <s v="9848-372616"/>
    <d v="2025-08-20T00:00:00"/>
    <s v="Returning"/>
    <x v="2"/>
    <s v="Kathmandu Momo House"/>
    <s v="Momo"/>
    <s v="  Veg Momo (Fried)"/>
    <n v="2"/>
    <s v="R-122"/>
    <x v="3"/>
    <m/>
    <s v="Delivered"/>
    <s v=""/>
    <n v="5"/>
    <n v="51"/>
    <m/>
    <s v="ORD-1048 | Chitwan |   Veg Momo (Fried)"/>
    <s v="CHITWAN"/>
    <s v="ime pay"/>
    <n v="160"/>
    <n v="320"/>
    <n v="80"/>
    <n v="0"/>
    <n v="400"/>
    <s v="Chitwan"/>
    <s v="Small"/>
    <s v="Valid"/>
  </r>
  <r>
    <s v="ORD-1139"/>
    <x v="31"/>
    <s v="Bishal Bista"/>
    <s v="9899-075116"/>
    <d v="2025-08-11T00:00:00"/>
    <s v="Returning"/>
    <x v="5"/>
    <s v="Fast Bites"/>
    <s v="Fast Food"/>
    <s v="Margherita Pizza"/>
    <n v="3"/>
    <s v="R-107"/>
    <x v="2"/>
    <m/>
    <s v="Delivered"/>
    <s v=""/>
    <n v="5"/>
    <n v="25"/>
    <s v="Fast delivery today"/>
    <s v="ORD-1139 | Lalitpur | Margherita Pizza"/>
    <s v="LALITPUR"/>
    <s v="khalti"/>
    <n v="550"/>
    <n v="1650"/>
    <n v="50"/>
    <n v="0"/>
    <n v="1700"/>
    <s v="Lalitpur"/>
    <s v="Large"/>
    <s v="Valid"/>
  </r>
  <r>
    <s v="ORD-1229"/>
    <x v="56"/>
    <s v="Bikash Shakya"/>
    <s v="9805-169784"/>
    <d v="2025-11-05T00:00:00"/>
    <s v="Returning"/>
    <x v="1"/>
    <s v="Himalayan Bakers"/>
    <s v="Bakery"/>
    <s v="Cheese Cake Slice"/>
    <n v="1"/>
    <s v="R-102"/>
    <x v="2"/>
    <s v="FIRSTORDER"/>
    <s v="Delivered"/>
    <s v=""/>
    <n v="5"/>
    <n v="33"/>
    <m/>
    <s v="ORD-1229 | Kathmandu | Cheese Cake Slice"/>
    <s v="KATHMANDU"/>
    <s v="khalti"/>
    <n v="250"/>
    <n v="250"/>
    <n v="50"/>
    <n v="100"/>
    <n v="200"/>
    <s v="Kathmandu"/>
    <s v="Small"/>
    <s v="Expired Code Used"/>
  </r>
  <r>
    <s v="ORD-1061"/>
    <x v="57"/>
    <s v="Suresh Magar"/>
    <s v="9822-791805"/>
    <d v="2025-08-02T00:00:00"/>
    <s v="Returning"/>
    <x v="1"/>
    <s v="Golden Dragon Kitchen"/>
    <s v="Chinese"/>
    <s v="Chicken Fried Rice  "/>
    <n v="1"/>
    <s v="R-105"/>
    <x v="3"/>
    <s v="FIRSTORDER"/>
    <s v="Delivered"/>
    <s v=""/>
    <n v="5"/>
    <n v="33"/>
    <s v="Fast delivery today"/>
    <s v="ORD-1061 | Kathmandu | Chicken Fried Rice  "/>
    <s v="KATHMANDU"/>
    <s v="ime pay"/>
    <n v="260"/>
    <n v="260"/>
    <n v="50"/>
    <n v="100"/>
    <n v="210"/>
    <s v="Kathmandu"/>
    <s v="Small"/>
    <s v="Valid"/>
  </r>
  <r>
    <s v="ORD-1094"/>
    <x v="28"/>
    <s v="Ramesh Tamang"/>
    <s v="9868-656355"/>
    <d v="2025-08-16T00:00:00"/>
    <s v="Returning"/>
    <x v="7"/>
    <s v="Bhattarai Momo Center"/>
    <s v="Momo"/>
    <s v="Chicken Momo (Steamed)"/>
    <n v="3"/>
    <s v="R-124"/>
    <x v="2"/>
    <s v="DASHAIN10"/>
    <s v="Delivered"/>
    <s v=""/>
    <n v="5"/>
    <n v="36"/>
    <m/>
    <s v="ORD-1094 | Dharan | Chicken Momo (Steamed)"/>
    <s v="DHARAN"/>
    <s v="khalti"/>
    <n v="190"/>
    <n v="570"/>
    <n v="95"/>
    <n v="57"/>
    <n v="608"/>
    <s v="Dharan"/>
    <s v="Medium"/>
    <s v="Valid"/>
  </r>
  <r>
    <s v="ORD-1038"/>
    <x v="58"/>
    <s v="Rohit Basnet"/>
    <s v="9870-822765"/>
    <d v="2025-03-05T00:00:00"/>
    <s v="Returning"/>
    <x v="1"/>
    <s v="Quick Snacks Corner"/>
    <s v="Fast Food"/>
    <s v="French Fries"/>
    <n v="2"/>
    <s v="R-106"/>
    <x v="0"/>
    <m/>
    <s v="Delivered"/>
    <s v=""/>
    <n v="4"/>
    <n v="41"/>
    <m/>
    <s v="ORD-1038 | Kathmandu | French Fries"/>
    <s v="KATHMANDU"/>
    <s v="esewa"/>
    <n v="160"/>
    <n v="320"/>
    <n v="50"/>
    <n v="0"/>
    <n v="370"/>
    <s v="Kathmandu"/>
    <s v="Small"/>
    <s v="Valid"/>
  </r>
  <r>
    <s v="ORD-1244"/>
    <x v="59"/>
    <s v="Pradeep Maharjan"/>
    <s v="9848-372616"/>
    <d v="2025-08-20T00:00:00"/>
    <s v="Returning"/>
    <x v="1"/>
    <s v="Bhattarai Momo Center"/>
    <s v="Momo"/>
    <s v="Veg Momo (Fried)"/>
    <n v="4"/>
    <s v="R-103"/>
    <x v="2"/>
    <m/>
    <s v="Cancelled"/>
    <s v=""/>
    <m/>
    <n v="26"/>
    <m/>
    <s v="ORD-1244 | Kathmandu | veg momo (fried)"/>
    <s v="KATHMANDU"/>
    <s v="khalti"/>
    <n v="160"/>
    <n v="640"/>
    <n v="50"/>
    <n v="0"/>
    <n v="690"/>
    <s v="Kathmandu"/>
    <s v="Medium"/>
    <s v="Valid"/>
  </r>
  <r>
    <s v="ORD-1041"/>
    <x v="60"/>
    <s v="Bandana Basnet"/>
    <s v="9823-159425"/>
    <d v="2025-09-04T00:00:00"/>
    <s v="New"/>
    <x v="1"/>
    <s v="Chiya Adda"/>
    <s v="Beverages"/>
    <s v="LEMON SODA"/>
    <n v="2"/>
    <s v="R-106"/>
    <x v="2"/>
    <m/>
    <s v="Delivered"/>
    <s v=""/>
    <n v="5"/>
    <n v="26"/>
    <m/>
    <s v="ORD-1041 | Kathmandu | Lemon Soda"/>
    <s v="KATHMANDU"/>
    <s v="khalti"/>
    <n v="100"/>
    <n v="200"/>
    <n v="50"/>
    <n v="0"/>
    <n v="250"/>
    <s v="Kathmandu"/>
    <s v="Small"/>
    <s v="Valid"/>
  </r>
  <r>
    <s v="ORD-1083"/>
    <x v="61"/>
    <s v="Anita Adhikari"/>
    <s v="9886-205798"/>
    <d v="2025-10-14T00:00:00"/>
    <s v="New"/>
    <x v="7"/>
    <s v="Kathmandu Momo House"/>
    <s v="Momo"/>
    <s v="Buff Momo (Steamed)"/>
    <n v="3"/>
    <s v="R-125"/>
    <x v="1"/>
    <s v="DASHAIN10"/>
    <s v="Delivered"/>
    <s v=""/>
    <n v="3"/>
    <n v="59"/>
    <m/>
    <s v="ORD-1083 | Dharan | Buff Momo (Steamed)"/>
    <s v="DHARAN"/>
    <s v="cash on delivery"/>
    <n v="170"/>
    <n v="510"/>
    <n v="95"/>
    <n v="51"/>
    <n v="554"/>
    <s v="Dharan"/>
    <s v="Medium"/>
    <s v="Valid"/>
  </r>
  <r>
    <s v="ORD-1156"/>
    <x v="53"/>
    <s v="Sagar Tamang"/>
    <s v="9820-297299"/>
    <d v="2025-08-02T00:00:00"/>
    <s v="Returning"/>
    <x v="6"/>
    <s v="Golden Dragon Kitchen"/>
    <s v="Chinese"/>
    <s v="chicken fried rice"/>
    <n v="2"/>
    <s v="R-114"/>
    <x v="0"/>
    <s v="TIHAR15"/>
    <m/>
    <s v=" NEED REVIEW"/>
    <m/>
    <n v="44"/>
    <m/>
    <s v="ORD-1156 | Pokhara | chicken fried rice"/>
    <s v="POKHARA"/>
    <s v="esewa"/>
    <n v="260"/>
    <n v="520"/>
    <n v="70"/>
    <n v="78"/>
    <n v="512"/>
    <s v="Pokhara"/>
    <s v="Medium"/>
    <s v="Valid"/>
  </r>
  <r>
    <s v="ORD-1268"/>
    <x v="43"/>
    <s v="Sushmita Poudel"/>
    <s v="9855-032624"/>
    <d v="2025-10-23T00:00:00"/>
    <s v="Returning"/>
    <x v="1"/>
    <s v="Fast Bites"/>
    <s v="Fast Food"/>
    <s v="Veg Fried Rice"/>
    <n v="1"/>
    <s v="R-104"/>
    <x v="0"/>
    <s v="WELCOME50"/>
    <s v="Delivered"/>
    <s v=""/>
    <n v="5"/>
    <n v="24"/>
    <m/>
    <s v="ORD-1268 | Kathmandu | veg fried rice"/>
    <s v="KATHMANDU"/>
    <s v="esewa"/>
    <n v="220"/>
    <n v="220"/>
    <n v="50"/>
    <n v="50"/>
    <n v="220"/>
    <s v="Kathmandu"/>
    <s v="Small"/>
    <s v="Valid"/>
  </r>
  <r>
    <s v="ORD-1021"/>
    <x v="50"/>
    <s v="Rohit Limbu"/>
    <s v="9850-201462"/>
    <d v="2025-08-05T00:00:00"/>
    <s v="Returning"/>
    <x v="4"/>
    <s v="Chiya Adda"/>
    <s v="Beverages"/>
    <s v="  Black Coffee"/>
    <n v="1"/>
    <s v="R-111"/>
    <x v="2"/>
    <m/>
    <s v="Delivered"/>
    <s v=""/>
    <n v="4"/>
    <n v="24"/>
    <m/>
    <s v="ORD-1021 | Bhaktapur |   Black Coffee"/>
    <s v="BHAKTAPUR"/>
    <s v="khalti"/>
    <n v="90"/>
    <n v="90"/>
    <n v="55"/>
    <n v="0"/>
    <n v="145"/>
    <s v="Bhaktapur"/>
    <s v="Small"/>
    <s v="Valid"/>
  </r>
  <r>
    <s v="ORD-1114"/>
    <x v="62"/>
    <s v="Ramesh Chhetri"/>
    <s v="9876-174093"/>
    <d v="2025-10-07T00:00:00"/>
    <s v="Returning"/>
    <x v="6"/>
    <s v="Newa Kitchen"/>
    <s v="Newari Khana"/>
    <s v="CHOILA (BUFF)"/>
    <n v="1"/>
    <s v="R-114"/>
    <x v="1"/>
    <s v="DASHAIN10"/>
    <s v="Delivered"/>
    <s v=""/>
    <n v="4"/>
    <n v="39"/>
    <s v="Fast delivery today"/>
    <s v="ORD-1114 | Pokhara | CHOILA (BUFF)"/>
    <s v="POKHARA"/>
    <s v="cash on delivery"/>
    <n v="320"/>
    <n v="320"/>
    <n v="70"/>
    <n v="32"/>
    <n v="358"/>
    <s v="Pokhara"/>
    <s v="Small"/>
    <s v="Valid"/>
  </r>
  <r>
    <s v="ORD-1276"/>
    <x v="14"/>
    <s v="Sujan Dahal"/>
    <s v="9809-378657"/>
    <d v="2025-09-18T00:00:00"/>
    <s v="Returning"/>
    <x v="6"/>
    <s v="Quick Snacks Corner"/>
    <s v="Fast Food"/>
    <s v="Veg Fried Rice"/>
    <n v="1"/>
    <s v="R-112"/>
    <x v="3"/>
    <m/>
    <s v="Delivered"/>
    <s v=""/>
    <n v="4"/>
    <n v="40"/>
    <s v="quality was great as always"/>
    <s v="ORD-1276 | Pokhara | Veg Fried Rice"/>
    <s v="POKHARA"/>
    <s v="ime pay"/>
    <n v="220"/>
    <n v="220"/>
    <n v="70"/>
    <n v="0"/>
    <n v="290"/>
    <s v="Pokhara"/>
    <s v="Small"/>
    <s v="Valid"/>
  </r>
  <r>
    <s v="ORD-1151"/>
    <x v="63"/>
    <s v="Suresh Thapa"/>
    <s v="9888-387371"/>
    <d v="2025-09-26T00:00:00"/>
    <s v="Returning"/>
    <x v="3"/>
    <s v="Momo Hut"/>
    <s v="Momo"/>
    <s v="Jhol Momo"/>
    <n v="4"/>
    <s v="R-120"/>
    <x v="1"/>
    <s v="TIHAR15"/>
    <s v="Delivered"/>
    <s v=""/>
    <n v="3"/>
    <n v="36"/>
    <s v="rider could not find my house"/>
    <s v="ORD-1151 | Butwal | Jhol Momo"/>
    <s v="BUTWAL"/>
    <s v="cash on delivery"/>
    <n v="200"/>
    <n v="800"/>
    <n v="85"/>
    <n v="120"/>
    <n v="765"/>
    <s v="Butwal"/>
    <s v="Medium"/>
    <s v="Valid"/>
  </r>
  <r>
    <s v="ORD-1176"/>
    <x v="24"/>
    <s v="Manisha Rai"/>
    <s v="9816-957220"/>
    <d v="2025-11-06T00:00:00"/>
    <s v="New"/>
    <x v="6"/>
    <s v="Sweet Home Bakery"/>
    <s v="Bakery"/>
    <s v="Cheese Cake Slice"/>
    <n v="3"/>
    <s v="R-115"/>
    <x v="1"/>
    <s v="TIHAR15"/>
    <s v="Delivered"/>
    <s v=""/>
    <n v="5"/>
    <n v="43"/>
    <m/>
    <s v="ORD-1176 | Pokhara | Cheese Cake Slice"/>
    <s v="POKHARA"/>
    <s v="cash on delivery"/>
    <n v="250"/>
    <n v="750"/>
    <n v="70"/>
    <n v="112.5"/>
    <n v="707.5"/>
    <s v="Pokhara"/>
    <s v="Medium"/>
    <s v="Valid"/>
  </r>
  <r>
    <s v="ORD-1265"/>
    <x v="51"/>
    <s v="Ashok Shrestha"/>
    <s v="9837-215901"/>
    <d v="2025-10-17T00:00:00"/>
    <s v="Returning"/>
    <x v="2"/>
    <s v="Chiya Adda"/>
    <s v="Beverages"/>
    <s v="LEMON SODA"/>
    <n v="1"/>
    <s v="R-121"/>
    <x v="1"/>
    <m/>
    <s v="Delivered"/>
    <s v=""/>
    <n v="5"/>
    <n v="31"/>
    <m/>
    <s v="ORD-1265 | Chitwan | Lemon Soda"/>
    <s v="CHITWAN"/>
    <s v="cash on delivery"/>
    <n v="100"/>
    <n v="100"/>
    <n v="80"/>
    <n v="0"/>
    <n v="180"/>
    <s v="Chitwan"/>
    <s v="Small"/>
    <s v="Valid"/>
  </r>
  <r>
    <s v="ORD-1243"/>
    <x v="59"/>
    <s v="Sandhya Shrestha"/>
    <s v="9853-549306"/>
    <d v="2025-11-02T00:00:00"/>
    <s v="Returning"/>
    <x v="2"/>
    <s v="Kathmandu Momo House"/>
    <s v="Momo"/>
    <s v="Chilli Momo"/>
    <n v="4"/>
    <s v="R-122"/>
    <x v="1"/>
    <s v="WELCOME50"/>
    <s v="Cancelled"/>
    <s v=""/>
    <m/>
    <n v="54"/>
    <m/>
    <s v="ORD-1243 | Chitwan | Chilli Momo"/>
    <s v="CHITWAN"/>
    <s v="cash on delivery"/>
    <n v="220"/>
    <n v="880"/>
    <n v="80"/>
    <n v="50"/>
    <n v="910"/>
    <s v="Chitwan"/>
    <s v="Medium"/>
    <s v="Valid"/>
  </r>
  <r>
    <s v="ORD-1235"/>
    <x v="64"/>
    <s v="Deepak Basnet"/>
    <s v="9849-454437"/>
    <d v="2025-10-22T00:00:00"/>
    <s v="Returning"/>
    <x v="3"/>
    <s v="Himalayan Bakers"/>
    <s v="Bakery"/>
    <s v="Laddu (5 pcs)  "/>
    <n v="1"/>
    <s v="R-120"/>
    <x v="2"/>
    <m/>
    <s v="Delivered"/>
    <s v=""/>
    <n v="4"/>
    <n v="50"/>
    <s v="Fast delivery today"/>
    <s v="ORD-1235 | Butwal | Laddu (5 pcs)  "/>
    <s v="BUTWAL"/>
    <s v="khalti"/>
    <n v="180"/>
    <n v="180"/>
    <n v="85"/>
    <n v="0"/>
    <n v="265"/>
    <s v="Butwal"/>
    <s v="Small"/>
    <s v="Valid"/>
  </r>
  <r>
    <s v="ORD-1284"/>
    <x v="65"/>
    <s v="Suresh Tamang"/>
    <s v="9843-325365"/>
    <d v="2025-10-29T00:00:00"/>
    <s v="Returning"/>
    <x v="2"/>
    <s v="Newa Kitchen"/>
    <s v="Newari Khana"/>
    <s v="Sukuti Sandheko"/>
    <n v="2"/>
    <s v="R-121"/>
    <x v="3"/>
    <m/>
    <s v="Delivered"/>
    <s v=""/>
    <n v="4"/>
    <n v="45"/>
    <m/>
    <s v="ORD-1284 | Chitwan | Sukuti Sandheko"/>
    <s v="CHITWAN"/>
    <s v="ime pay"/>
    <n v="350"/>
    <n v="700"/>
    <n v="80"/>
    <n v="0"/>
    <n v="780"/>
    <s v="Chitwan"/>
    <s v="Medium"/>
    <s v="Valid"/>
  </r>
  <r>
    <s v="ORD-1281"/>
    <x v="66"/>
    <s v="Sujan Acharya"/>
    <s v="9855-459045"/>
    <d v="2025-02-13T00:00:00"/>
    <s v="Returning"/>
    <x v="1"/>
    <s v="Golden Dragon Kitchen"/>
    <s v="Chinese"/>
    <s v="Veg Chopsuey"/>
    <n v="1"/>
    <s v="R-106"/>
    <x v="3"/>
    <m/>
    <s v="Delivered"/>
    <s v=""/>
    <n v="4"/>
    <n v="35"/>
    <m/>
    <s v="ORD-1281 | Kathmandu | Veg Chopsuey"/>
    <s v="KATHMANDU"/>
    <s v="ime pay"/>
    <n v="260"/>
    <n v="260"/>
    <n v="50"/>
    <n v="0"/>
    <n v="310"/>
    <s v="Kathmandu"/>
    <s v="Small"/>
    <s v="Valid"/>
  </r>
  <r>
    <s v="ORD-1217"/>
    <x v="67"/>
    <s v="Rajan Poudel"/>
    <s v="9808-246281"/>
    <d v="2025-09-09T00:00:00"/>
    <s v="Returning"/>
    <x v="6"/>
    <s v="Quick Snacks Corner"/>
    <s v="Fast Food"/>
    <s v="Chicken Chowmein"/>
    <n v="3"/>
    <s v="R-113"/>
    <x v="2"/>
    <m/>
    <s v="Delivered"/>
    <s v=""/>
    <n v="5"/>
    <n v="31"/>
    <m/>
    <s v="ORD-1217 | Pokhara | Chicken Chowmein"/>
    <s v="POKHARA"/>
    <s v="khalti"/>
    <n v="250"/>
    <n v="750"/>
    <n v="70"/>
    <n v="0"/>
    <n v="820"/>
    <s v="Pokhara"/>
    <s v="Medium"/>
    <s v="Valid"/>
  </r>
  <r>
    <s v="ORD-1031"/>
    <x v="68"/>
    <s v="Manisha Rai"/>
    <s v="9814-913167"/>
    <d v="2025-08-26T00:00:00"/>
    <s v="New"/>
    <x v="2"/>
    <s v="Quick Snacks Corner"/>
    <s v="Fast Food"/>
    <s v="FRENCH FRIES"/>
    <n v="1"/>
    <s v="R-123"/>
    <x v="2"/>
    <m/>
    <s v="Delivered"/>
    <s v=""/>
    <n v="5"/>
    <n v="28"/>
    <m/>
    <s v="ORD-1031 | Chitwan | FRENCH FRIES"/>
    <s v="CHITWAN"/>
    <s v="khalti"/>
    <n v="160"/>
    <n v="160"/>
    <n v="80"/>
    <n v="0"/>
    <n v="240"/>
    <s v="Chitwan"/>
    <s v="Small"/>
    <s v="Valid"/>
  </r>
  <r>
    <s v="ORD-1146"/>
    <x v="69"/>
    <s v="Suresh Tamang"/>
    <s v="9843-325365"/>
    <d v="2025-10-29T00:00:00"/>
    <s v="New"/>
    <x v="6"/>
    <s v="Fast Bites"/>
    <s v="Fast Food"/>
    <s v="Veg Burger"/>
    <n v="3"/>
    <s v="R-113"/>
    <x v="1"/>
    <s v="MOMO20"/>
    <s v="Delivered"/>
    <s v=""/>
    <n v="3"/>
    <n v="29"/>
    <m/>
    <s v="ORD-1146 | Pokhara | Veg Burger"/>
    <s v="POKHARA"/>
    <s v="cash on delivery"/>
    <n v="220"/>
    <n v="660"/>
    <n v="70"/>
    <n v="132"/>
    <n v="598"/>
    <s v="Pokhara"/>
    <s v="Medium"/>
    <s v="Valid"/>
  </r>
  <r>
    <s v="ORD-1150"/>
    <x v="69"/>
    <s v="Bandana Basnet"/>
    <s v="9823-159425"/>
    <d v="2025-09-04T00:00:00"/>
    <s v="Returning"/>
    <x v="7"/>
    <s v="Cafe Cup"/>
    <s v="Beverages"/>
    <s v="MANGO JUICE"/>
    <n v="2"/>
    <s v="R-124"/>
    <x v="2"/>
    <s v="LOYAL100"/>
    <s v="Delivered"/>
    <s v=""/>
    <n v="3"/>
    <n v="59"/>
    <m/>
    <s v="ORD-1150 | Dharan | Mango Juice"/>
    <s v="DHARAN"/>
    <s v="khalti"/>
    <n v="120"/>
    <n v="240"/>
    <n v="95"/>
    <n v="100"/>
    <n v="235"/>
    <s v="Dharan"/>
    <s v="Small"/>
    <s v="Valid"/>
  </r>
  <r>
    <s v="ORD-1199"/>
    <x v="70"/>
    <s v="Anita Adhikari"/>
    <s v="9886-205798"/>
    <d v="2025-10-14T00:00:00"/>
    <s v="Returning"/>
    <x v="1"/>
    <s v="Chiya Adda"/>
    <s v="Beverages"/>
    <s v="Lassi"/>
    <n v="2"/>
    <s v="R-101"/>
    <x v="4"/>
    <m/>
    <s v="Delivered"/>
    <s v=""/>
    <n v="5"/>
    <n v="29"/>
    <m/>
    <s v="ORD-1199 | Kathmandu | Lassi"/>
    <s v="KATHMANDU"/>
    <s v="connectips"/>
    <n v="130"/>
    <n v="260"/>
    <n v="50"/>
    <n v="0"/>
    <n v="310"/>
    <s v="Kathmandu"/>
    <s v="Small"/>
    <s v="Valid"/>
  </r>
  <r>
    <s v="ORD-1283"/>
    <x v="65"/>
    <s v="Rajan Shrestha"/>
    <s v="9868-493407"/>
    <d v="2025-11-02T00:00:00"/>
    <s v="Returning"/>
    <x v="2"/>
    <s v="Wok Point"/>
    <s v="Chinese"/>
    <s v="chicken fried rice"/>
    <n v="1"/>
    <s v="R-121"/>
    <x v="0"/>
    <m/>
    <s v="Cancelled"/>
    <s v=""/>
    <m/>
    <n v="41"/>
    <s v="okay experience"/>
    <s v="ORD-1283 | Chitwan | chicken fried rice"/>
    <s v="CHITWAN"/>
    <s v="esewa"/>
    <n v="260"/>
    <n v="260"/>
    <n v="80"/>
    <n v="0"/>
    <n v="340"/>
    <s v="Chitwan"/>
    <s v="Small"/>
    <s v="Valid"/>
  </r>
  <r>
    <s v="ORD-1067"/>
    <x v="71"/>
    <s v="Suresh Thapa"/>
    <s v="9888-387371"/>
    <d v="2025-09-26T00:00:00"/>
    <s v="New"/>
    <x v="1"/>
    <s v="Fast Bites"/>
    <s v="Fast Food"/>
    <s v="Veg Fried Rice"/>
    <n v="1"/>
    <s v="R-101"/>
    <x v="0"/>
    <s v="WEEKEND10"/>
    <s v="Cancelled"/>
    <s v=""/>
    <m/>
    <n v="28"/>
    <m/>
    <s v="ORD-1067 | Kathmandu | VEG FRIED RICE"/>
    <s v="KATHMANDU"/>
    <s v="esewa"/>
    <n v="220"/>
    <n v="220"/>
    <n v="50"/>
    <n v="22"/>
    <n v="248"/>
    <s v="Kathmandu"/>
    <s v="Small"/>
    <s v="Valid"/>
  </r>
  <r>
    <s v="ORD-1027"/>
    <x v="72"/>
    <s v="Sagar Poudel"/>
    <s v="9896-937293"/>
    <d v="2025-08-22T00:00:00"/>
    <s v="New"/>
    <x v="1"/>
    <s v="Quick Snacks Corner"/>
    <s v="Fast Food"/>
    <s v="Chicken Chowmein"/>
    <n v="3"/>
    <s v="R-102"/>
    <x v="2"/>
    <s v="MONSOON30"/>
    <s v="Delivered"/>
    <s v=""/>
    <m/>
    <n v="32"/>
    <m/>
    <s v="ORD-1027 | Kathmandu | Chicken Chowmein"/>
    <s v="KATHMANDU"/>
    <s v="khalti"/>
    <n v="250"/>
    <n v="750"/>
    <n v="50"/>
    <n v="30"/>
    <n v="770"/>
    <s v="Kathmandu"/>
    <s v="Medium"/>
    <s v="Valid"/>
  </r>
  <r>
    <s v="ORD-1047"/>
    <x v="55"/>
    <s v="Rita Adhikari"/>
    <s v="9883-380141"/>
    <d v="2025-09-09T00:00:00"/>
    <s v="New"/>
    <x v="6"/>
    <s v="Yeti Newari Bhoj"/>
    <s v="Newari Khana"/>
    <s v="Bara"/>
    <n v="1"/>
    <s v="R-114"/>
    <x v="0"/>
    <s v="LOYAL100"/>
    <s v="Delivered"/>
    <s v=""/>
    <n v="5"/>
    <n v="38"/>
    <m/>
    <s v="ORD-1047 | Pokhara | BARA"/>
    <s v="POKHARA"/>
    <s v="esewa"/>
    <n v="160"/>
    <n v="160"/>
    <n v="70"/>
    <n v="100"/>
    <n v="130"/>
    <s v="Pokhara"/>
    <s v="Small"/>
    <s v="Valid"/>
  </r>
  <r>
    <s v="ORD-1057"/>
    <x v="73"/>
    <s v="Nisha Shakya"/>
    <s v="9866-661760"/>
    <d v="2025-09-17T00:00:00"/>
    <s v="New"/>
    <x v="0"/>
    <s v="Golden Dragon Kitchen"/>
    <s v="Chinese"/>
    <s v="Veg Chopsuey"/>
    <n v="1"/>
    <s v="R-116"/>
    <x v="2"/>
    <m/>
    <s v="Cancelled"/>
    <s v=""/>
    <m/>
    <n v="46"/>
    <m/>
    <s v="ORD-1057 | Biratnagar | Veg Chopsuey"/>
    <s v="BIRATNAGAR"/>
    <s v="khalti"/>
    <n v="260"/>
    <n v="260"/>
    <n v="90"/>
    <n v="0"/>
    <n v="350"/>
    <s v="Biratnagar"/>
    <s v="Small"/>
    <s v="Valid"/>
  </r>
  <r>
    <s v="ORD-1174"/>
    <x v="27"/>
    <s v="Milan Tamang"/>
    <s v="9847-045585"/>
    <d v="2025-11-05T00:00:00"/>
    <s v="New"/>
    <x v="3"/>
    <s v="Bhatti Sekuwa Corner"/>
    <s v="Sekuwa"/>
    <s v="Mutton Sekuwa"/>
    <n v="4"/>
    <s v="R-120"/>
    <x v="1"/>
    <s v="TIHAR15"/>
    <s v="Delivered"/>
    <s v=""/>
    <n v="2"/>
    <n v="58"/>
    <m/>
    <s v="ORD-1174 | Butwal | Mutton Sekuwa"/>
    <s v="BUTWAL"/>
    <s v="cash on delivery"/>
    <n v="600"/>
    <n v="2400"/>
    <n v="85"/>
    <n v="360"/>
    <n v="2125"/>
    <s v="Butwal"/>
    <s v="Large"/>
    <s v="Valid"/>
  </r>
  <r>
    <s v="ORD-1210"/>
    <x v="74"/>
    <s v="Nirmala Dahal"/>
    <s v="9836-439008"/>
    <d v="2025-09-10T00:00:00"/>
    <s v="Returning"/>
    <x v="2"/>
    <s v="Momo Hut"/>
    <s v="Momo"/>
    <s v="Chicken Momo (Fried)  "/>
    <n v="2"/>
    <s v="R-121"/>
    <x v="3"/>
    <m/>
    <s v="Delivered"/>
    <s v=""/>
    <n v="3"/>
    <n v="56"/>
    <m/>
    <s v="ORD-1210 | Chitwan | Chicken Momo (Fried)  "/>
    <s v="CHITWAN"/>
    <s v="ime pay"/>
    <n v="210"/>
    <n v="420"/>
    <n v="80"/>
    <n v="0"/>
    <n v="500"/>
    <s v="Chitwan"/>
    <s v="Medium"/>
    <s v="Valid"/>
  </r>
  <r>
    <s v="ORD-1063"/>
    <x v="52"/>
    <s v="Rina Adhikari"/>
    <s v="9867-272042"/>
    <d v="2025-03-27T00:00:00"/>
    <s v="Returning"/>
    <x v="4"/>
    <s v="Quick Snacks Corner"/>
    <s v="Fast Food"/>
    <s v="Chicken Burger"/>
    <n v="2"/>
    <s v="R-111"/>
    <x v="4"/>
    <s v="DASHAIN10"/>
    <s v="Delivered"/>
    <s v=""/>
    <n v="4"/>
    <n v="31"/>
    <s v="Fast delivery today"/>
    <s v="ORD-1063 | Bhaktapur | Chicken Burger"/>
    <s v="BHAKTAPUR"/>
    <s v="connectips"/>
    <n v="280"/>
    <n v="560"/>
    <n v="55"/>
    <n v="56"/>
    <n v="559"/>
    <s v="Bhaktapur"/>
    <s v="Medium"/>
    <s v="Valid"/>
  </r>
  <r>
    <s v="ORD-1137"/>
    <x v="31"/>
    <s v="Manisha Gurung"/>
    <s v="9891-390996"/>
    <d v="2025-08-23T00:00:00"/>
    <s v="Returning"/>
    <x v="2"/>
    <s v="Yeti Newari Bhoj"/>
    <s v="Newari Khana"/>
    <s v="  Yomari"/>
    <n v="2"/>
    <s v="R-121"/>
    <x v="2"/>
    <s v="TIHAR15"/>
    <s v="Delivered"/>
    <s v=""/>
    <n v="4"/>
    <n v="42"/>
    <m/>
    <s v="ORD-1137 | Chitwan |   Yomari"/>
    <s v="CHITWAN"/>
    <s v="khalti"/>
    <n v="180"/>
    <n v="360"/>
    <n v="80"/>
    <n v="54"/>
    <n v="386"/>
    <s v="Chitwan"/>
    <s v="Small"/>
    <s v="Valid"/>
  </r>
  <r>
    <s v="ORD-1105"/>
    <x v="21"/>
    <s v="Deepak Basnet"/>
    <s v="9844-634786"/>
    <d v="2025-06-06T00:00:00"/>
    <s v="Returning"/>
    <x v="6"/>
    <s v="Himalayan Bakers"/>
    <s v="Bakery"/>
    <s v="Chocolate Pastry"/>
    <n v="1"/>
    <s v="R-112"/>
    <x v="3"/>
    <m/>
    <s v="Delivered"/>
    <s v=""/>
    <n v="5"/>
    <n v="35"/>
    <s v="packaging was nice"/>
    <s v="ORD-1105 | Pokhara | Chocolate Pastry"/>
    <s v="POKHARA"/>
    <s v="ime pay"/>
    <n v="150"/>
    <n v="150"/>
    <n v="70"/>
    <n v="0"/>
    <n v="220"/>
    <s v="Pokhara"/>
    <s v="Small"/>
    <s v="Valid"/>
  </r>
  <r>
    <s v="ORD-1293"/>
    <x v="75"/>
    <s v="Bandana Bhattarai"/>
    <s v="9800-474395"/>
    <d v="2025-09-01T00:00:00"/>
    <s v="Returning"/>
    <x v="2"/>
    <s v="Sekuwa Point"/>
    <s v="Sekuwa"/>
    <s v="mutton sekuwa"/>
    <n v="2"/>
    <s v="R-123"/>
    <x v="2"/>
    <m/>
    <s v="Returned"/>
    <s v=""/>
    <m/>
    <n v="49"/>
    <s v="average, nothing special"/>
    <s v="ORD-1293 | Chitwan | mutton sekuwa"/>
    <s v="CHITWAN"/>
    <s v="khalti"/>
    <n v="600"/>
    <n v="1200"/>
    <n v="80"/>
    <n v="0"/>
    <n v="1280"/>
    <s v="Chitwan"/>
    <s v="Large"/>
    <s v="Valid"/>
  </r>
  <r>
    <s v="ORD-1263"/>
    <x v="76"/>
    <s v="Manisha Rai"/>
    <s v="9814-913167"/>
    <d v="2025-08-26T00:00:00"/>
    <s v="Returning"/>
    <x v="6"/>
    <s v="Sweet Home Bakery"/>
    <s v="Bakery"/>
    <s v="Laddu (5 pcs)"/>
    <n v="1"/>
    <s v="R-114"/>
    <x v="2"/>
    <m/>
    <s v="Delivered"/>
    <s v=""/>
    <n v="3"/>
    <n v="67"/>
    <m/>
    <s v="ORD-1263 | Pokhara | Laddu (5 pcs)"/>
    <s v="POKHARA"/>
    <s v="khalti"/>
    <n v="180"/>
    <n v="180"/>
    <n v="70"/>
    <n v="0"/>
    <n v="250"/>
    <s v="Pokhara"/>
    <s v="Small"/>
    <s v="Valid"/>
  </r>
  <r>
    <s v="ORD-1295"/>
    <x v="77"/>
    <s v="Kiran Bhattarai"/>
    <s v="9851-732904"/>
    <d v="2025-08-17T00:00:00"/>
    <s v="Returning"/>
    <x v="7"/>
    <s v="Wok Point"/>
    <s v="Chinese"/>
    <s v="Chicken Manchurian"/>
    <n v="2"/>
    <s v="R-125"/>
    <x v="0"/>
    <m/>
    <s v="Delivered"/>
    <s v=""/>
    <n v="4"/>
    <n v="39"/>
    <m/>
    <s v="ORD-1295 | Dharan | Chicken Manchurian"/>
    <s v="DHARAN"/>
    <s v="esewa"/>
    <n v="320"/>
    <n v="640"/>
    <n v="95"/>
    <n v="0"/>
    <n v="735"/>
    <s v="Dharan"/>
    <s v="Medium"/>
    <s v="Valid"/>
  </r>
  <r>
    <s v="ORD-1232"/>
    <x v="78"/>
    <s v="Saroj Gurung"/>
    <s v="9824-264628"/>
    <d v="2025-11-02T00:00:00"/>
    <s v="Returning"/>
    <x v="2"/>
    <s v="Fast Bites"/>
    <s v="Fast Food"/>
    <s v="French Fries"/>
    <n v="2"/>
    <s v="R-121"/>
    <x v="1"/>
    <s v="MONSOON30"/>
    <s v="Delivered"/>
    <s v=""/>
    <n v="5"/>
    <n v="48"/>
    <m/>
    <s v="ORD-1232 | Chitwan | French Fries"/>
    <s v="CHITWAN"/>
    <s v="cash on delivery"/>
    <n v="160"/>
    <n v="320"/>
    <n v="80"/>
    <n v="30"/>
    <n v="370"/>
    <s v="Chitwan"/>
    <s v="Small"/>
    <s v="Expired Code Used"/>
  </r>
  <r>
    <s v="ORD-1040"/>
    <x v="60"/>
    <s v="Manisha Rai"/>
    <s v="9814-913167"/>
    <d v="2025-08-26T00:00:00"/>
    <s v="Returning"/>
    <x v="2"/>
    <s v="Sweet Home Bakery"/>
    <s v="Bakery"/>
    <s v="Barfi (5 pcs)  "/>
    <n v="4"/>
    <s v="R-121"/>
    <x v="2"/>
    <m/>
    <s v="Delivered"/>
    <s v=""/>
    <n v="5"/>
    <n v="50"/>
    <m/>
    <s v="ORD-1040 | Chitwan | Barfi (5 pcs)  "/>
    <s v="CHITWAN"/>
    <s v="khalti"/>
    <n v="220"/>
    <n v="880"/>
    <n v="80"/>
    <n v="0"/>
    <n v="960"/>
    <s v="Chitwan"/>
    <s v="Medium"/>
    <s v="Valid"/>
  </r>
  <r>
    <s v="ORD-1223"/>
    <x v="42"/>
    <s v="Nirmala Adhikari"/>
    <s v="9849-500324"/>
    <d v="2025-10-31T00:00:00"/>
    <s v="Returning"/>
    <x v="2"/>
    <s v="Newa Kitchen"/>
    <s v="Newari Khana"/>
    <s v="Choila (Buff)"/>
    <n v="1"/>
    <s v="R-122"/>
    <x v="1"/>
    <m/>
    <s v="Delivered"/>
    <s v=""/>
    <n v="5"/>
    <n v="47"/>
    <m/>
    <s v="ORD-1223 | Chitwan | Choila (Buff)"/>
    <s v="CHITWAN"/>
    <s v="cash on delivery"/>
    <n v="320"/>
    <n v="320"/>
    <n v="80"/>
    <n v="0"/>
    <n v="400"/>
    <s v="Chitwan"/>
    <s v="Small"/>
    <s v="Valid"/>
  </r>
  <r>
    <s v="ORD-1181"/>
    <x v="22"/>
    <s v="Sarita Shakya"/>
    <s v="9859-952890"/>
    <d v="2025-10-27T00:00:00"/>
    <s v="Returning"/>
    <x v="3"/>
    <s v="Bhatti Sekuwa Corner"/>
    <s v="Sekuwa"/>
    <s v="Buff Sekuwa"/>
    <n v="2"/>
    <s v="R-120"/>
    <x v="0"/>
    <m/>
    <s v="Delivered"/>
    <s v=""/>
    <n v="4"/>
    <n v="52"/>
    <s v="good food, will order again"/>
    <s v="ORD-1181 | Butwal | Buff Sekuwa"/>
    <s v="BUTWAL"/>
    <s v="esewa"/>
    <n v="380"/>
    <n v="760"/>
    <n v="85"/>
    <n v="0"/>
    <n v="845"/>
    <s v="Butwal"/>
    <s v="Medium"/>
    <s v="Valid"/>
  </r>
  <r>
    <s v="ORD-1290"/>
    <x v="79"/>
    <s v="Suresh Dahal"/>
    <s v="9828-159013"/>
    <d v="2025-10-29T00:00:00"/>
    <s v="Returning"/>
    <x v="5"/>
    <s v="Cafe Cup"/>
    <s v="Beverages"/>
    <s v="LEMON SODA"/>
    <n v="2"/>
    <s v="R-107"/>
    <x v="1"/>
    <m/>
    <s v="Delivered"/>
    <s v=""/>
    <n v="4"/>
    <n v="35"/>
    <m/>
    <s v="ORD-1290 | Lalitpur | Lemon Soda"/>
    <s v="LALITPUR"/>
    <s v="cash on delivery"/>
    <n v="100"/>
    <n v="200"/>
    <n v="50"/>
    <n v="0"/>
    <n v="250"/>
    <s v="Lalitpur"/>
    <s v="Small"/>
    <s v="Valid"/>
  </r>
  <r>
    <s v="ORD-1183"/>
    <x v="80"/>
    <s v="Bikash Shakya"/>
    <s v="9805-169784"/>
    <d v="2025-11-05T00:00:00"/>
    <s v="Returning"/>
    <x v="1"/>
    <s v="Bhattarai Momo Center"/>
    <s v="Momo"/>
    <s v="Chicken Momo (Steamed)"/>
    <n v="1"/>
    <s v="R-102"/>
    <x v="0"/>
    <s v="TIHAR15"/>
    <s v="Delivered"/>
    <s v=""/>
    <n v="5"/>
    <n v="30"/>
    <s v="Fast delivery today"/>
    <s v="ORD-1183 | Kathmandu | Chicken Momo (Steamed)"/>
    <s v="KATHMANDU"/>
    <s v="esewa"/>
    <n v="190"/>
    <n v="190"/>
    <n v="50"/>
    <n v="28.5"/>
    <n v="211.5"/>
    <s v="Kathmandu"/>
    <s v="Small"/>
    <s v="Expired Code Used"/>
  </r>
  <r>
    <s v="ORD-1078"/>
    <x v="81"/>
    <s v="Anish Shakya"/>
    <s v="9836-546107"/>
    <d v="2025-09-26T00:00:00"/>
    <s v="Returning"/>
    <x v="6"/>
    <s v="Yeti Newari Bhoj"/>
    <s v="Newari Khana"/>
    <s v="Choila (Buff)"/>
    <n v="1"/>
    <s v="R-113"/>
    <x v="3"/>
    <s v="DASHAIN10"/>
    <s v="Returned"/>
    <s v=""/>
    <m/>
    <n v="51"/>
    <m/>
    <s v="ORD-1078 | Pokhara | Choila (Buff)"/>
    <s v="POKHARA"/>
    <s v="ime pay"/>
    <n v="320"/>
    <n v="320"/>
    <n v="70"/>
    <n v="32"/>
    <n v="358"/>
    <s v="Pokhara"/>
    <s v="Small"/>
    <s v="Valid"/>
  </r>
  <r>
    <s v="ORD-1016"/>
    <x v="82"/>
    <s v="Deepak Basnet"/>
    <s v="9844-634786"/>
    <d v="2025-06-06T00:00:00"/>
    <s v="Returning"/>
    <x v="3"/>
    <s v="Fast Bites"/>
    <s v="Fast Food"/>
    <s v="Chicken Chowmein"/>
    <n v="2"/>
    <s v="R-120"/>
    <x v="2"/>
    <m/>
    <s v="Delivered"/>
    <s v=""/>
    <n v="3"/>
    <n v="58"/>
    <m/>
    <s v="ORD-1016 | Butwal | CHICKEN CHOWMEIN"/>
    <s v="BUTWAL"/>
    <s v="khalti"/>
    <n v="250"/>
    <n v="500"/>
    <n v="85"/>
    <n v="0"/>
    <n v="585"/>
    <s v="Butwal"/>
    <s v="Medium"/>
    <s v="Valid"/>
  </r>
  <r>
    <s v="ORD-1233"/>
    <x v="83"/>
    <s v="Rita Adhikari"/>
    <s v="9883-380141"/>
    <d v="2025-09-09T00:00:00"/>
    <s v="Returning"/>
    <x v="5"/>
    <s v="Wok Point"/>
    <s v="Chinese"/>
    <s v="chicken fried rice"/>
    <n v="4"/>
    <s v="R-107"/>
    <x v="2"/>
    <m/>
    <s v="Delivered"/>
    <s v=""/>
    <n v="4"/>
    <n v="10"/>
    <s v="packaging was nice"/>
    <s v="ORD-1233 | Lalitpur | Chicken Fried Rice"/>
    <s v="LALITPUR"/>
    <s v="khalti"/>
    <n v="260"/>
    <n v="1040"/>
    <n v="50"/>
    <n v="0"/>
    <n v="1090"/>
    <s v="Lalitpur"/>
    <s v="Large"/>
    <s v="Valid"/>
  </r>
  <r>
    <s v="ORD-1106"/>
    <x v="33"/>
    <s v="Deepak Basnet"/>
    <s v="9849-454437"/>
    <d v="2025-10-22T00:00:00"/>
    <s v="New"/>
    <x v="6"/>
    <s v="Golden Dragon Kitchen"/>
    <s v="Chinese"/>
    <s v="Chicken Manchurian"/>
    <n v="1"/>
    <s v="R-115"/>
    <x v="0"/>
    <m/>
    <s v="Returned"/>
    <s v=""/>
    <m/>
    <n v="27"/>
    <m/>
    <s v="ORD-1106 | Pokhara | Chicken Manchurian"/>
    <s v="POKHARA"/>
    <s v="esewa"/>
    <n v="320"/>
    <n v="320"/>
    <n v="70"/>
    <n v="0"/>
    <n v="390"/>
    <s v="Pokhara"/>
    <s v="Small"/>
    <s v="Valid"/>
  </r>
  <r>
    <s v="ORD-1245"/>
    <x v="84"/>
    <s v="Kabita Basnet"/>
    <s v="9826-565150"/>
    <d v="2025-12-22T00:00:00"/>
    <s v="New"/>
    <x v="4"/>
    <s v="Bhattarai Momo Center"/>
    <s v="Momo"/>
    <s v="Veg Momo (Steamed)"/>
    <n v="1"/>
    <s v="R-111"/>
    <x v="0"/>
    <m/>
    <s v="Delivered"/>
    <s v=""/>
    <n v="4"/>
    <n v="34"/>
    <s v="quality was great as always"/>
    <s v="ORD-1245 | Bhaktapur | Veg Momo (Steamed)"/>
    <s v="BHAKTAPUR"/>
    <s v="esewa"/>
    <n v="150"/>
    <n v="150"/>
    <n v="55"/>
    <n v="0"/>
    <n v="205"/>
    <s v="Bhaktapur"/>
    <s v="Small"/>
    <s v="Valid"/>
  </r>
  <r>
    <s v="ORD-1022"/>
    <x v="85"/>
    <s v="Kiran Bhattarai"/>
    <s v="9851-732904"/>
    <d v="2025-08-17T00:00:00"/>
    <s v="New"/>
    <x v="1"/>
    <s v="Thakali Ghar"/>
    <s v="Thakali Set"/>
    <s v="Mutton Thakali Set"/>
    <n v="3"/>
    <s v="R-105"/>
    <x v="0"/>
    <m/>
    <s v="Returned"/>
    <s v=""/>
    <m/>
    <n v="23"/>
    <s v="fine I guess"/>
    <s v="ORD-1022 | Kathmandu | Mutton Thakali Set"/>
    <s v="KATHMANDU"/>
    <s v="esewa"/>
    <n v="650"/>
    <n v="1950"/>
    <n v="50"/>
    <n v="0"/>
    <n v="2000"/>
    <s v="Kathmandu"/>
    <s v="Large"/>
    <s v="Valid"/>
  </r>
  <r>
    <s v="ORD-1298"/>
    <x v="86"/>
    <s v="Bikash Limbu"/>
    <s v="9882-651233"/>
    <d v="2025-10-23T00:00:00"/>
    <s v="Returning"/>
    <x v="5"/>
    <s v="Wok Point"/>
    <s v="Chinese"/>
    <s v="chicken fried rice"/>
    <n v="1"/>
    <s v="R-107"/>
    <x v="2"/>
    <m/>
    <s v="Delivered"/>
    <s v=""/>
    <n v="4"/>
    <n v="32"/>
    <s v="best momo in town"/>
    <s v="ORD-1298 | Lalitpur | Chicken Fried Rice"/>
    <s v="LALITPUR"/>
    <s v="khalti"/>
    <n v="260"/>
    <n v="260"/>
    <n v="50"/>
    <n v="0"/>
    <n v="310"/>
    <s v="Lalitpur"/>
    <s v="Small"/>
    <s v="Valid"/>
  </r>
  <r>
    <s v="ORD-1198"/>
    <x v="87"/>
    <s v="Rajan Shakya"/>
    <s v="9826-199582"/>
    <d v="2025-09-04T00:00:00"/>
    <s v="Returning"/>
    <x v="6"/>
    <s v="Bhatti Sekuwa Corner"/>
    <s v="Sekuwa"/>
    <s v="Buff Sekuwa"/>
    <n v="2"/>
    <s v="R-113"/>
    <x v="3"/>
    <m/>
    <m/>
    <s v=" NEED REVIEW"/>
    <n v="5"/>
    <n v="33"/>
    <s v="Fast delivery today"/>
    <s v="ORD-1198 | Pokhara | Buff Sekuwa"/>
    <s v="POKHARA"/>
    <s v="ime pay"/>
    <n v="380"/>
    <n v="760"/>
    <n v="70"/>
    <n v="0"/>
    <n v="830"/>
    <s v="Pokhara"/>
    <s v="Medium"/>
    <s v="Valid"/>
  </r>
  <r>
    <s v="ORD-1160"/>
    <x v="88"/>
    <s v="Saroj Gurung"/>
    <s v="9824-264628"/>
    <d v="2025-11-02T00:00:00"/>
    <s v="New"/>
    <x v="0"/>
    <s v="Chiya Adda"/>
    <s v="Beverages"/>
    <s v="MANGO JUICE"/>
    <n v="2"/>
    <s v="R-117"/>
    <x v="2"/>
    <s v="TIHAR15"/>
    <s v="Delivered"/>
    <s v=""/>
    <n v="5"/>
    <n v="36"/>
    <s v="Fast delivery today"/>
    <s v="ORD-1160 | Biratnagar | Mango Juice"/>
    <s v="BIRATNAGAR"/>
    <s v="khalti"/>
    <n v="120"/>
    <n v="240"/>
    <n v="90"/>
    <n v="36"/>
    <n v="294"/>
    <s v="Biratnagar"/>
    <s v="Small"/>
    <s v="Valid"/>
  </r>
  <r>
    <s v="ORD-1197"/>
    <x v="89"/>
    <s v="Bikash Shakya"/>
    <s v="9805-169784"/>
    <d v="2025-11-05T00:00:00"/>
    <s v="Returning"/>
    <x v="5"/>
    <s v="Kathmandu Momo House"/>
    <s v="Momo"/>
    <s v="Buff Momo (Steamed)"/>
    <n v="2"/>
    <s v="R-108"/>
    <x v="2"/>
    <s v="WEEKEND10"/>
    <s v="Delivered"/>
    <s v=""/>
    <n v="5"/>
    <n v="34"/>
    <s v="Fast delivery today"/>
    <s v="ORD-1197 | Lalitpur | Buff Momo (Steamed)"/>
    <s v="LALITPUR"/>
    <s v="khalti"/>
    <n v="170"/>
    <n v="340"/>
    <n v="50"/>
    <n v="34"/>
    <n v="356"/>
    <s v="Lalitpur"/>
    <s v="Small"/>
    <s v="Valid"/>
  </r>
  <r>
    <s v="ORD-1018"/>
    <x v="90"/>
    <s v="Nisha Thapa"/>
    <s v="9858-649208"/>
    <d v="2025-05-10T00:00:00"/>
    <s v="Returning"/>
    <x v="1"/>
    <s v="Bhatti Sekuwa Corner"/>
    <s v="Sekuwa"/>
    <s v="Buff Sekuwa"/>
    <n v="1"/>
    <s v="R-106"/>
    <x v="2"/>
    <m/>
    <s v="Delivered"/>
    <s v=""/>
    <n v="5"/>
    <n v="26"/>
    <m/>
    <s v="ORD-1018 | Kathmandu | Buff Sekuwa"/>
    <s v="KATHMANDU"/>
    <s v="khalti"/>
    <n v="380"/>
    <n v="380"/>
    <n v="50"/>
    <n v="0"/>
    <n v="430"/>
    <s v="Kathmandu"/>
    <s v="Small"/>
    <s v="Valid"/>
  </r>
  <r>
    <s v="ORD-1294"/>
    <x v="75"/>
    <s v="Pradeep Maharjan"/>
    <s v="9848-372616"/>
    <d v="2025-08-20T00:00:00"/>
    <s v="Returning"/>
    <x v="6"/>
    <s v="Himalayan Bakers"/>
    <s v="Bakery"/>
    <s v="Laddu (5 pcs)"/>
    <n v="1"/>
    <s v="R-114"/>
    <x v="1"/>
    <m/>
    <s v="Delivered"/>
    <s v=""/>
    <n v="5"/>
    <n v="40"/>
    <s v="quality was great as always"/>
    <s v="ORD-1294 | Pokhara | Laddu (5 pcs)"/>
    <s v="POKHARA"/>
    <s v="cash on delivery"/>
    <n v="180"/>
    <n v="180"/>
    <n v="70"/>
    <n v="0"/>
    <n v="250"/>
    <s v="Pokhara"/>
    <s v="Small"/>
    <s v="Valid"/>
  </r>
  <r>
    <s v="ORD-1238"/>
    <x v="91"/>
    <s v="Sita Maharjan"/>
    <s v="9880-021581"/>
    <d v="2025-09-16T00:00:00"/>
    <s v="Returning"/>
    <x v="1"/>
    <s v="Fast Bites"/>
    <s v="Fast Food"/>
    <s v="Veg Fried Rice"/>
    <n v="1"/>
    <s v="R-104"/>
    <x v="0"/>
    <s v="LOYAL100"/>
    <s v="Returned"/>
    <s v=""/>
    <m/>
    <n v="32"/>
    <m/>
    <s v="ORD-1238 | Kathmandu | Veg Fried Rice"/>
    <s v="KATHMANDU"/>
    <s v="esewa"/>
    <n v="220"/>
    <n v="220"/>
    <n v="50"/>
    <n v="100"/>
    <n v="170"/>
    <s v="Kathmandu"/>
    <s v="Small"/>
    <s v="Valid"/>
  </r>
  <r>
    <s v="ORD-1117"/>
    <x v="8"/>
    <s v="Sarita Karki"/>
    <s v="9889-869284"/>
    <d v="2025-10-10T00:00:00"/>
    <s v="Returning"/>
    <x v="5"/>
    <s v="Wok Point"/>
    <s v="Chinese"/>
    <s v="Veg Chopsuey"/>
    <n v="2"/>
    <s v="R-109"/>
    <x v="0"/>
    <s v="MOMO20"/>
    <s v="Delivered"/>
    <s v=""/>
    <n v="4"/>
    <n v="24"/>
    <m/>
    <s v="ORD-1117 | Lalitpur | Veg Chopsuey"/>
    <s v="LALITPUR"/>
    <s v="esewa"/>
    <n v="260"/>
    <n v="520"/>
    <n v="50"/>
    <n v="104"/>
    <n v="466"/>
    <s v="Lalitpur"/>
    <s v="Small"/>
    <s v="Valid"/>
  </r>
  <r>
    <s v="ORD-1171"/>
    <x v="27"/>
    <s v="Bishal Basnet"/>
    <s v="9878-245040"/>
    <d v="2025-09-16T00:00:00"/>
    <s v="Returning"/>
    <x v="1"/>
    <s v="Quick Snacks Corner"/>
    <s v="Fast Food"/>
    <s v="Chicken Chowmein"/>
    <n v="2"/>
    <s v="R-103"/>
    <x v="0"/>
    <s v="TIHAR15"/>
    <s v="Delivered"/>
    <s v=""/>
    <n v="5"/>
    <n v="27"/>
    <s v="quality was great as always"/>
    <s v="ORD-1171 | Kathmandu | Chicken Chowmein"/>
    <s v="KATHMANDU"/>
    <s v="esewa"/>
    <n v="250"/>
    <n v="500"/>
    <n v="50"/>
    <n v="75"/>
    <n v="475"/>
    <s v="Kathmandu"/>
    <s v="Small"/>
    <s v="Valid"/>
  </r>
  <r>
    <s v="ORD-1296"/>
    <x v="77"/>
    <s v="Sujan Dahal"/>
    <s v="9809-378657"/>
    <d v="2025-09-18T00:00:00"/>
    <s v="Returning"/>
    <x v="4"/>
    <s v="Momo Hut"/>
    <s v="Momo"/>
    <s v="Chilli Momo"/>
    <n v="3"/>
    <s v="R-111"/>
    <x v="2"/>
    <s v="LOYAL100"/>
    <s v="Delivered"/>
    <s v=""/>
    <n v="5"/>
    <n v="31"/>
    <m/>
    <s v="ORD-1296 | Bhaktapur | Chilli Momo"/>
    <s v="BHAKTAPUR"/>
    <s v="khalti"/>
    <n v="220"/>
    <n v="660"/>
    <n v="55"/>
    <n v="100"/>
    <n v="615"/>
    <s v="Bhaktapur"/>
    <s v="Medium"/>
    <s v="Valid"/>
  </r>
  <r>
    <s v="ORD-1112"/>
    <x v="62"/>
    <s v="Bina Shrestha"/>
    <s v="9881-741433"/>
    <d v="2025-02-12T00:00:00"/>
    <s v="Returning"/>
    <x v="5"/>
    <s v="Himalayan Bakers"/>
    <s v="Bakery"/>
    <s v="Sel Roti (4 pcs)  "/>
    <n v="1"/>
    <s v="R-107"/>
    <x v="1"/>
    <m/>
    <s v="Delivered"/>
    <s v=""/>
    <n v="5"/>
    <n v="14"/>
    <m/>
    <s v="ORD-1112 | Lalitpur | Sel Roti (4 pcs)  "/>
    <s v="LALITPUR"/>
    <s v="cash on delivery"/>
    <n v="140"/>
    <n v="140"/>
    <n v="50"/>
    <n v="0"/>
    <n v="190"/>
    <s v="Lalitpur"/>
    <s v="Small"/>
    <s v="Valid"/>
  </r>
  <r>
    <s v="ORD-1187"/>
    <x v="13"/>
    <s v="Sabina Magar"/>
    <s v="9876-018955"/>
    <d v="2025-08-11T00:00:00"/>
    <s v="Returning"/>
    <x v="7"/>
    <s v="Quick Snacks Corner"/>
    <s v="Fast Food"/>
    <s v="Chicken Pizza"/>
    <n v="1"/>
    <s v="R-125"/>
    <x v="2"/>
    <s v="FIRSTORDER"/>
    <s v="Delivered"/>
    <s v=""/>
    <n v="4"/>
    <n v="52"/>
    <m/>
    <s v="ORD-1187 | Dharan | chicken pizza"/>
    <s v="DHARAN"/>
    <s v="khalti"/>
    <n v="650"/>
    <n v="650"/>
    <n v="95"/>
    <n v="100"/>
    <n v="645"/>
    <s v="Dharan"/>
    <s v="Medium"/>
    <s v="Expired Code Used"/>
  </r>
  <r>
    <s v="ORD-1196"/>
    <x v="92"/>
    <s v="Suresh Shrestha"/>
    <s v="9868-773132"/>
    <d v="2025-08-04T00:00:00"/>
    <s v="Returning"/>
    <x v="1"/>
    <s v="Quick Snacks Corner"/>
    <s v="Fast Food"/>
    <s v="Veg Fried Rice"/>
    <n v="2"/>
    <s v="R-103"/>
    <x v="2"/>
    <m/>
    <s v="Delivered"/>
    <s v=""/>
    <n v="4"/>
    <n v="34"/>
    <m/>
    <s v="ORD-1196 | Kathmandu | Veg Fried Rice"/>
    <s v="KATHMANDU"/>
    <s v="khalti"/>
    <n v="220"/>
    <n v="440"/>
    <n v="50"/>
    <n v="0"/>
    <n v="490"/>
    <s v="Kathmandu"/>
    <s v="Small"/>
    <s v="Valid"/>
  </r>
  <r>
    <s v="ORD-1124"/>
    <x v="93"/>
    <s v="Ramesh Chhetri"/>
    <s v="9834-419792"/>
    <d v="2025-10-26T00:00:00"/>
    <s v="New"/>
    <x v="1"/>
    <s v="Fast Bites"/>
    <s v="Fast Food"/>
    <s v="  Chicken Burger"/>
    <n v="2"/>
    <s v="R-103"/>
    <x v="0"/>
    <s v="TIHAR15"/>
    <s v="Delivered"/>
    <s v=""/>
    <n v="5"/>
    <n v="24"/>
    <s v="quality was great as always"/>
    <s v="ORD-1124 | Kathmandu |   Chicken Burger"/>
    <s v="KATHMANDU"/>
    <s v="esewa"/>
    <n v="280"/>
    <n v="560"/>
    <n v="50"/>
    <n v="84"/>
    <n v="526"/>
    <s v="Kathmandu"/>
    <s v="Medium"/>
    <s v="Valid"/>
  </r>
  <r>
    <s v="ORD-1212"/>
    <x v="94"/>
    <s v="Anish Tamang"/>
    <s v="9821-387837"/>
    <d v="2025-08-28T00:00:00"/>
    <s v="Returning"/>
    <x v="1"/>
    <s v="Bhattarai Momo Center"/>
    <s v="Momo"/>
    <s v="Chicken Momo (Steamed)"/>
    <n v="2"/>
    <s v="R-105"/>
    <x v="1"/>
    <m/>
    <s v="Delivered"/>
    <s v=""/>
    <n v="5"/>
    <n v="28"/>
    <m/>
    <s v="ORD-1212 | Kathmandu | Chicken Momo (Steamed)"/>
    <s v="KATHMANDU"/>
    <s v="cash on delivery"/>
    <n v="190"/>
    <n v="380"/>
    <n v="50"/>
    <n v="0"/>
    <n v="430"/>
    <s v="Kathmandu"/>
    <s v="Small"/>
    <s v="Valid"/>
  </r>
  <r>
    <s v="ORD-1177"/>
    <x v="24"/>
    <s v="Kiran Lama"/>
    <s v="9800-267511"/>
    <d v="2025-10-17T00:00:00"/>
    <s v="Returning"/>
    <x v="1"/>
    <s v="Quick Snacks Corner"/>
    <s v="Fast Food"/>
    <s v="Margherita Pizza"/>
    <n v="3"/>
    <s v="R-106"/>
    <x v="0"/>
    <s v="TIHAR15"/>
    <s v="Returned"/>
    <s v=""/>
    <m/>
    <n v="30"/>
    <m/>
    <s v="ORD-1177 | Kathmandu | Margherita Pizza"/>
    <s v="KATHMANDU"/>
    <s v="esewa"/>
    <n v="550"/>
    <n v="1650"/>
    <n v="50"/>
    <n v="247.5"/>
    <n v="1452.5"/>
    <s v="Kathmandu"/>
    <s v="Large"/>
    <s v="Valid"/>
  </r>
  <r>
    <s v="ORD-1088"/>
    <x v="95"/>
    <s v="Rajan Basnet"/>
    <s v="9897-465075"/>
    <d v="2025-09-11T00:00:00"/>
    <s v="Returning"/>
    <x v="1"/>
    <s v="Golden Dragon Kitchen"/>
    <s v="Chinese"/>
    <s v="Chicken Manchurian"/>
    <n v="1"/>
    <s v="R-103"/>
    <x v="0"/>
    <s v="DASHAIN10"/>
    <s v="Delivered"/>
    <s v=""/>
    <n v="4"/>
    <n v="33"/>
    <m/>
    <s v="ORD-1088 | Kathmandu | Chicken Manchurian"/>
    <s v="KATHMANDU"/>
    <s v="esewa"/>
    <n v="320"/>
    <n v="320"/>
    <n v="50"/>
    <n v="32"/>
    <n v="338"/>
    <s v="Kathmandu"/>
    <s v="Small"/>
    <s v="Valid"/>
  </r>
  <r>
    <s v="ORD-1110"/>
    <x v="62"/>
    <s v="Rajan Poudel"/>
    <s v="9808-246281"/>
    <d v="2025-09-09T00:00:00"/>
    <s v="Returning"/>
    <x v="7"/>
    <s v="Quick Snacks Corner"/>
    <s v="Fast Food"/>
    <s v="Veg Fried Rice"/>
    <n v="1"/>
    <s v="R-124"/>
    <x v="1"/>
    <s v="DASHAIN10"/>
    <s v="Delivered"/>
    <s v=""/>
    <n v="3"/>
    <n v="57"/>
    <s v="delivery was very late"/>
    <s v="ORD-1110 | Dharan | Veg Fried Rice"/>
    <s v="DHARAN"/>
    <s v="cash on delivery"/>
    <n v="220"/>
    <n v="220"/>
    <n v="95"/>
    <n v="22"/>
    <n v="293"/>
    <s v="Dharan"/>
    <s v="Small"/>
    <s v="Valid"/>
  </r>
  <r>
    <s v="ORD-1084"/>
    <x v="61"/>
    <s v="Gopal Shakya"/>
    <s v="9821-993518"/>
    <d v="2025-09-30T00:00:00"/>
    <s v="Returning"/>
    <x v="7"/>
    <s v="Bhatti Sekuwa Corner"/>
    <s v="Sekuwa"/>
    <s v="Chicken Sekuwa"/>
    <n v="1"/>
    <s v="R-124"/>
    <x v="1"/>
    <s v="DASHAIN10"/>
    <s v="Cancelled"/>
    <s v=""/>
    <m/>
    <n v="63"/>
    <m/>
    <s v="ORD-1084 | Dharan | Chicken Sekuwa"/>
    <s v="DHARAN"/>
    <s v="cash on delivery"/>
    <n v="420"/>
    <n v="420"/>
    <n v="95"/>
    <n v="42"/>
    <n v="473"/>
    <s v="Dharan"/>
    <s v="Small"/>
    <s v="Valid"/>
  </r>
  <r>
    <s v="ORD-1204"/>
    <x v="6"/>
    <s v="Rajan Basnet"/>
    <s v="9897-465075"/>
    <d v="2025-09-11T00:00:00"/>
    <s v="Returning"/>
    <x v="0"/>
    <s v="Sweet Home Bakery"/>
    <s v="Bakery"/>
    <s v="Barfi (5 pcs)"/>
    <n v="1"/>
    <s v="R-116"/>
    <x v="2"/>
    <m/>
    <s v="Delivered"/>
    <s v=""/>
    <n v="5"/>
    <n v="36"/>
    <s v="best momo in town"/>
    <s v="ORD-1204 | Biratnagar | Barfi (5 pcs)"/>
    <s v="BIRATNAGAR"/>
    <s v="khalti"/>
    <n v="220"/>
    <n v="220"/>
    <n v="90"/>
    <n v="0"/>
    <n v="310"/>
    <s v="Biratnagar"/>
    <s v="Small"/>
    <s v="Valid"/>
  </r>
  <r>
    <s v="ORD-1076"/>
    <x v="7"/>
    <s v="Kiran Bhattarai"/>
    <s v="9851-732904"/>
    <d v="2025-08-17T00:00:00"/>
    <s v="Returning"/>
    <x v="7"/>
    <s v="Sekuwa Point"/>
    <s v="Sekuwa"/>
    <s v="Chicken Sekuwa"/>
    <n v="3"/>
    <s v="R-124"/>
    <x v="0"/>
    <s v="DASHAIN10"/>
    <s v="Delivered"/>
    <s v=""/>
    <n v="4"/>
    <n v="56"/>
    <m/>
    <s v="ORD-1076 | Dharan | Chicken Sekuwa"/>
    <s v="DHARAN"/>
    <s v="esewa"/>
    <n v="420"/>
    <n v="1260"/>
    <n v="95"/>
    <n v="126"/>
    <n v="1229"/>
    <s v="Dharan"/>
    <s v="Large"/>
    <s v="Valid"/>
  </r>
  <r>
    <s v="ORD-1192"/>
    <x v="96"/>
    <s v="Sunita Poudel"/>
    <s v="9877-602077"/>
    <d v="2025-11-11T00:00:00"/>
    <s v="New"/>
    <x v="3"/>
    <s v="Momo Hut"/>
    <s v="Momo"/>
    <s v="Chicken Momo (Steamed)"/>
    <n v="3"/>
    <s v="R-119"/>
    <x v="2"/>
    <s v="TIHAR15"/>
    <s v="Returned"/>
    <s v=""/>
    <m/>
    <n v="42"/>
    <s v="average, nothing special"/>
    <s v="ORD-1192 | Butwal | Chicken Momo (Steamed)"/>
    <s v="BUTWAL"/>
    <s v="khalti"/>
    <n v="190"/>
    <n v="570"/>
    <n v="85"/>
    <n v="85.5"/>
    <n v="569.5"/>
    <s v="Butwal"/>
    <s v="Medium"/>
    <s v="Valid"/>
  </r>
  <r>
    <s v="ORD-1003"/>
    <x v="97"/>
    <s v="Sagar Tamang"/>
    <s v="9820-297299"/>
    <d v="2025-08-02T00:00:00"/>
    <s v="New"/>
    <x v="5"/>
    <s v="Yeti Newari Bhoj"/>
    <s v="Newari Khana"/>
    <s v="Sukuti Sandheko"/>
    <n v="3"/>
    <s v="R-107"/>
    <x v="2"/>
    <m/>
    <s v="Delivered"/>
    <s v=""/>
    <n v="4"/>
    <n v="36"/>
    <m/>
    <s v="ORD-1003 | Lalitpur | Sukuti Sandheko"/>
    <s v="LALITPUR"/>
    <s v="khalti"/>
    <n v="350"/>
    <n v="1050"/>
    <n v="50"/>
    <n v="0"/>
    <n v="1100"/>
    <s v="Lalitpur"/>
    <s v="Large"/>
    <s v="Valid"/>
  </r>
  <r>
    <s v="ORD-1043"/>
    <x v="98"/>
    <s v="Rajan Poudel"/>
    <s v="9808-246281"/>
    <d v="2025-09-09T00:00:00"/>
    <s v="New"/>
    <x v="7"/>
    <s v="Thakali Ghar"/>
    <s v="Thakali Set"/>
    <s v="Chicken Thakali Set"/>
    <n v="1"/>
    <s v="R-124"/>
    <x v="0"/>
    <m/>
    <s v="Delivered"/>
    <s v=""/>
    <n v="4"/>
    <n v="55"/>
    <s v="best momo in town"/>
    <s v="ORD-1043 | Dharan | Chicken Thakali Set"/>
    <s v="DHARAN"/>
    <s v="esewa"/>
    <n v="480"/>
    <n v="480"/>
    <n v="95"/>
    <n v="0"/>
    <n v="575"/>
    <s v="Dharan"/>
    <s v="Medium"/>
    <s v="Valid"/>
  </r>
  <r>
    <s v="ORD-1080"/>
    <x v="99"/>
    <s v="Sita Maharjan"/>
    <s v="9880-021581"/>
    <d v="2025-09-16T00:00:00"/>
    <s v="Returning"/>
    <x v="7"/>
    <s v="Himalayan Thakali Kitchen"/>
    <s v="Thakali Set"/>
    <s v="Veg Thakali Set  "/>
    <n v="1"/>
    <s v="R-125"/>
    <x v="1"/>
    <s v="FIRSTORDER"/>
    <s v="Returned"/>
    <s v=""/>
    <m/>
    <n v="53"/>
    <s v="okay experience"/>
    <s v="ORD-1080 | Dharan | Veg Thakali Set  "/>
    <s v="DHARAN"/>
    <s v="cash on delivery"/>
    <n v="380"/>
    <n v="380"/>
    <n v="95"/>
    <n v="100"/>
    <n v="375"/>
    <s v="Dharan"/>
    <s v="Small"/>
    <s v="Valid"/>
  </r>
  <r>
    <s v="ORD-1014"/>
    <x v="100"/>
    <s v="Bishal Bista"/>
    <s v="9899-075116"/>
    <d v="2025-08-11T00:00:00"/>
    <s v="New"/>
    <x v="5"/>
    <s v="Newa Kitchen"/>
    <s v="Newari Khana"/>
    <s v="Bara"/>
    <n v="1"/>
    <s v="R-108"/>
    <x v="3"/>
    <s v="FIRSTORDER"/>
    <s v="Returned"/>
    <s v=""/>
    <m/>
    <n v="21"/>
    <m/>
    <s v="ORD-1014 | Lalitpur | Bara"/>
    <s v="LALITPUR"/>
    <s v="ime pay"/>
    <n v="160"/>
    <n v="160"/>
    <n v="50"/>
    <n v="100"/>
    <n v="110"/>
    <s v="Lalitpur"/>
    <s v="Small"/>
    <s v="Valid"/>
  </r>
  <r>
    <s v="ORD-1086"/>
    <x v="101"/>
    <s v="Sujan Basnet"/>
    <s v="9807-806671"/>
    <d v="2025-10-15T00:00:00"/>
    <s v="New"/>
    <x v="1"/>
    <s v="Cafe Cup"/>
    <s v="Beverages"/>
    <s v="MANGO JUICE"/>
    <n v="3"/>
    <s v="R-106"/>
    <x v="4"/>
    <m/>
    <s v="Delivered"/>
    <s v=""/>
    <n v="3"/>
    <n v="33"/>
    <m/>
    <s v="ORD-1086 | Kathmandu | Mango Juice"/>
    <s v="KATHMANDU"/>
    <s v="connectips"/>
    <n v="120"/>
    <n v="360"/>
    <n v="50"/>
    <n v="0"/>
    <n v="410"/>
    <s v="Kathmandu"/>
    <s v="Small"/>
    <s v="Valid"/>
  </r>
  <r>
    <s v="ORD-1178"/>
    <x v="24"/>
    <s v="Kabita Adhikari"/>
    <s v="9800-859979"/>
    <d v="2025-11-05T00:00:00"/>
    <s v="New"/>
    <x v="7"/>
    <s v="Yeti Newari Bhoj"/>
    <s v="Newari Khana"/>
    <s v="Sukuti Sandheko"/>
    <n v="4"/>
    <s v="R-124"/>
    <x v="0"/>
    <s v="TIHAR15"/>
    <s v="Returned"/>
    <s v=""/>
    <m/>
    <n v="53"/>
    <s v="okay experience"/>
    <s v="ORD-1178 | Dharan | Sukuti Sandheko"/>
    <s v="DHARAN"/>
    <s v="esewa"/>
    <n v="350"/>
    <n v="1400"/>
    <n v="95"/>
    <n v="210"/>
    <n v="1285"/>
    <s v="Dharan"/>
    <s v="Large"/>
    <s v="Valid"/>
  </r>
  <r>
    <s v="ORD-1157"/>
    <x v="53"/>
    <s v="Rita Gurung"/>
    <s v="9874-137484"/>
    <d v="2025-10-17T00:00:00"/>
    <s v="Returning"/>
    <x v="1"/>
    <s v="Bhattarai Momo Center"/>
    <s v="Momo"/>
    <s v="Chicken Momo (Steamed)"/>
    <n v="2"/>
    <s v="R-105"/>
    <x v="2"/>
    <m/>
    <s v="Delivered"/>
    <s v=""/>
    <n v="4"/>
    <n v="20"/>
    <s v="packaging was nice"/>
    <s v="ORD-1157 | Kathmandu | Chicken Momo (Steamed)"/>
    <s v="KATHMANDU"/>
    <s v="khalti"/>
    <n v="190"/>
    <n v="380"/>
    <n v="50"/>
    <n v="0"/>
    <n v="430"/>
    <s v="Kathmandu"/>
    <s v="Small"/>
    <s v="Valid"/>
  </r>
  <r>
    <s v="ORD-1200"/>
    <x v="40"/>
    <s v="Anita Khadka"/>
    <s v="9861-304451"/>
    <d v="2025-10-18T00:00:00"/>
    <s v="Returning"/>
    <x v="0"/>
    <s v="Chiya Adda"/>
    <s v="Beverages"/>
    <s v="Lassi"/>
    <n v="1"/>
    <s v="R-116"/>
    <x v="1"/>
    <m/>
    <s v="Delivered"/>
    <s v=""/>
    <n v="2"/>
    <n v="59"/>
    <m/>
    <s v="ORD-1200 | Biratnagar | Lassi"/>
    <s v="BIRATNAGAR"/>
    <s v="cash on delivery"/>
    <n v="130"/>
    <n v="130"/>
    <n v="90"/>
    <n v="0"/>
    <n v="220"/>
    <s v="Biratnagar"/>
    <s v="Small"/>
    <s v="Valid"/>
  </r>
  <r>
    <s v="ORD-1216"/>
    <x v="67"/>
    <s v="Sujan Lama"/>
    <s v="9816-828126"/>
    <d v="2025-10-27T00:00:00"/>
    <s v="Returning"/>
    <x v="4"/>
    <s v="Newa Kitchen"/>
    <s v="Newari Khana"/>
    <s v="Bara"/>
    <n v="3"/>
    <s v="R-111"/>
    <x v="3"/>
    <s v="LOYAL100"/>
    <s v="Delivered"/>
    <s v=""/>
    <n v="4"/>
    <n v="24"/>
    <m/>
    <s v="ORD-1216 | Bhaktapur | bara"/>
    <s v="BHAKTAPUR"/>
    <s v="ime pay"/>
    <n v="160"/>
    <n v="480"/>
    <n v="55"/>
    <n v="100"/>
    <n v="435"/>
    <s v="Bhaktapur"/>
    <s v="Small"/>
    <s v="Valid"/>
  </r>
  <r>
    <s v="ORD-1320"/>
    <x v="30"/>
    <s v="Rajan Shakya"/>
    <s v="9826-199582"/>
    <d v="2025-09-04T00:00:00"/>
    <s v="Returning"/>
    <x v="3"/>
    <s v="Thakali Ghar"/>
    <s v="Thakali Set"/>
    <s v="  Chicken Thakali Set"/>
    <n v="3"/>
    <s v="R-119"/>
    <x v="3"/>
    <s v="WELCOME50"/>
    <s v="Delivered"/>
    <s v=""/>
    <m/>
    <n v="46"/>
    <m/>
    <s v="ORD-1320 | Butwal |   Chicken Thakali Set"/>
    <s v="BUTWAL"/>
    <s v="ime pay"/>
    <n v="480"/>
    <n v="1440"/>
    <n v="85"/>
    <n v="50"/>
    <n v="1475"/>
    <s v="Butwal"/>
    <s v="Large"/>
    <s v="Valid"/>
  </r>
  <r>
    <s v="ORD-1148"/>
    <x v="69"/>
    <s v="Rohit Limbu"/>
    <s v="9850-201462"/>
    <d v="2025-08-05T00:00:00"/>
    <s v="Returning"/>
    <x v="6"/>
    <s v="Yeti Newari Bhoj"/>
    <s v="Newari Khana"/>
    <s v="  Chatamari"/>
    <n v="3"/>
    <s v="R-113"/>
    <x v="1"/>
    <s v="WELCOME50"/>
    <s v="Delivered"/>
    <s v=""/>
    <n v="5"/>
    <n v="54"/>
    <m/>
    <s v="ORD-1148 | Pokhara |   Chatamari"/>
    <s v="POKHARA"/>
    <s v="cash on delivery"/>
    <n v="210"/>
    <n v="630"/>
    <n v="70"/>
    <n v="50"/>
    <n v="650"/>
    <s v="Pokhara"/>
    <s v="Medium"/>
    <s v="Valid"/>
  </r>
  <r>
    <s v="ORD-1140"/>
    <x v="10"/>
    <s v="Rita Gurung"/>
    <s v="9874-137484"/>
    <d v="2025-10-17T00:00:00"/>
    <s v="Returning"/>
    <x v="5"/>
    <s v="Kathmandu Momo House"/>
    <s v="Momo"/>
    <s v="Chilli Momo  "/>
    <n v="3"/>
    <s v="R-107"/>
    <x v="0"/>
    <m/>
    <s v="Delivered"/>
    <s v=""/>
    <n v="4"/>
    <n v="18"/>
    <m/>
    <s v="ORD-1140 | Lalitpur | Chilli Momo  "/>
    <s v="LALITPUR"/>
    <s v="esewa"/>
    <n v="220"/>
    <n v="660"/>
    <n v="50"/>
    <n v="0"/>
    <n v="710"/>
    <s v="Lalitpur"/>
    <s v="Medium"/>
    <s v="Valid"/>
  </r>
  <r>
    <s v="ORD-1289"/>
    <x v="41"/>
    <s v="Bandana Bhattarai"/>
    <s v="9800-474395"/>
    <d v="2025-09-01T00:00:00"/>
    <s v="New"/>
    <x v="1"/>
    <s v="Cafe Cup"/>
    <s v="Beverages"/>
    <s v="LEMON SODA"/>
    <n v="1"/>
    <s v="R-101"/>
    <x v="3"/>
    <s v="WEEKEND10"/>
    <s v="Delivered"/>
    <s v=""/>
    <n v="3"/>
    <n v="34"/>
    <m/>
    <s v="ORD-1289 | Kathmandu | Lemon Soda"/>
    <s v="KATHMANDU"/>
    <s v="ime pay"/>
    <n v="100"/>
    <n v="100"/>
    <n v="50"/>
    <n v="10"/>
    <n v="140"/>
    <s v="Kathmandu"/>
    <s v="Small"/>
    <s v="Valid"/>
  </r>
  <r>
    <s v="ORD-1023"/>
    <x v="102"/>
    <s v="Ramesh Bista"/>
    <s v="9860-926030"/>
    <d v="2025-08-19T00:00:00"/>
    <s v="New"/>
    <x v="5"/>
    <s v="Quick Snacks Corner"/>
    <s v="Fast Food"/>
    <s v="Veg Fried Rice"/>
    <n v="3"/>
    <s v="R-108"/>
    <x v="2"/>
    <m/>
    <s v="Delivered"/>
    <s v=""/>
    <n v="5"/>
    <n v="37"/>
    <m/>
    <s v="ORD-1023 | Lalitpur | veg fried rice"/>
    <s v="LALITPUR"/>
    <s v="khalti"/>
    <n v="220"/>
    <n v="660"/>
    <n v="50"/>
    <n v="0"/>
    <n v="710"/>
    <s v="Lalitpur"/>
    <s v="Medium"/>
    <s v="Valid"/>
  </r>
  <r>
    <s v="ORD-1188"/>
    <x v="13"/>
    <s v="Sita Lama"/>
    <s v="9840-206797"/>
    <d v="2025-11-08T00:00:00"/>
    <s v="New"/>
    <x v="6"/>
    <s v="Thakali Ghar"/>
    <s v="Thakali Set"/>
    <s v="  Mutton Thakali Set"/>
    <n v="1"/>
    <s v="R-114"/>
    <x v="2"/>
    <m/>
    <s v="Delivered"/>
    <s v=""/>
    <n v="4"/>
    <n v="46"/>
    <s v="packaging was nice"/>
    <s v="ORD-1188 | Pokhara |   Mutton Thakali Set"/>
    <s v="POKHARA"/>
    <s v="khalti"/>
    <n v="650"/>
    <n v="650"/>
    <n v="70"/>
    <n v="0"/>
    <n v="720"/>
    <s v="Pokhara"/>
    <s v="Medium"/>
    <s v="Valid"/>
  </r>
  <r>
    <s v="ORD-1101"/>
    <x v="49"/>
    <s v="Ashok Acharya"/>
    <s v="9893-158279"/>
    <d v="2025-10-19T00:00:00"/>
    <s v="New"/>
    <x v="1"/>
    <s v="Bhatti Sekuwa Corner"/>
    <s v="Sekuwa"/>
    <s v="Buff Sekuwa"/>
    <n v="3"/>
    <s v="R-102"/>
    <x v="0"/>
    <s v="DASHAIN10"/>
    <s v="Delivered"/>
    <s v=""/>
    <n v="5"/>
    <n v="42"/>
    <s v="packaging was nice"/>
    <s v="ORD-1101 | Kathmandu | Buff Sekuwa"/>
    <s v="KATHMANDU"/>
    <s v="esewa"/>
    <n v="380"/>
    <n v="1140"/>
    <n v="50"/>
    <n v="114"/>
    <n v="1076"/>
    <s v="Kathmandu"/>
    <s v="Large"/>
    <s v="Valid"/>
  </r>
  <r>
    <s v="ORD-1288"/>
    <x v="103"/>
    <s v="Sarita Karki"/>
    <s v="9889-869284"/>
    <d v="2025-10-10T00:00:00"/>
    <s v="Returning"/>
    <x v="1"/>
    <s v="Thakali Ghar"/>
    <s v="Thakali Set"/>
    <s v="Chicken Thakali Set"/>
    <n v="2"/>
    <s v="R-103"/>
    <x v="3"/>
    <s v="FIRSTORDER"/>
    <s v="Delivered"/>
    <s v=""/>
    <n v="5"/>
    <n v="31"/>
    <m/>
    <s v="ORD-1288 | Kathmandu | Chicken Thakali Set"/>
    <s v="KATHMANDU"/>
    <s v="ime pay"/>
    <n v="480"/>
    <n v="960"/>
    <n v="50"/>
    <n v="100"/>
    <n v="910"/>
    <s v="Kathmandu"/>
    <s v="Medium"/>
    <s v="Expired Code Used"/>
  </r>
  <r>
    <s v="ORD-1055"/>
    <x v="104"/>
    <s v="Ramesh Lama"/>
    <s v="9853-705656"/>
    <d v="2025-08-08T00:00:00"/>
    <s v="Returning"/>
    <x v="3"/>
    <s v="Thakali Ghar"/>
    <s v="Thakali Set"/>
    <s v="Chicken Thakali Set"/>
    <n v="2"/>
    <s v="R-120"/>
    <x v="1"/>
    <m/>
    <s v="Delivered"/>
    <s v=""/>
    <n v="3"/>
    <n v="31"/>
    <m/>
    <s v="ORD-1055 | Butwal | Chicken Thakali Set"/>
    <s v="BUTWAL"/>
    <s v="cash on delivery"/>
    <n v="480"/>
    <n v="960"/>
    <n v="85"/>
    <n v="0"/>
    <n v="1045"/>
    <s v="Butwal"/>
    <s v="Large"/>
    <s v="Valid"/>
  </r>
  <r>
    <s v="ORD-1070"/>
    <x v="25"/>
    <s v="Sujan Acharya"/>
    <s v="9825-449920"/>
    <d v="2025-09-27T00:00:00"/>
    <s v="New"/>
    <x v="1"/>
    <s v="Yeti Newari Bhoj"/>
    <s v="Newari Khana"/>
    <s v="Choila (Buff)"/>
    <n v="1"/>
    <s v="R-105"/>
    <x v="1"/>
    <m/>
    <s v="Delivered"/>
    <s v=""/>
    <n v="4"/>
    <n v="45"/>
    <s v="best momo in town"/>
    <s v="ORD-1070 | Kathmandu | Choila (Buff)"/>
    <s v="KATHMANDU"/>
    <s v="cash on delivery"/>
    <n v="320"/>
    <n v="320"/>
    <n v="50"/>
    <n v="0"/>
    <n v="370"/>
    <s v="Kathmandu"/>
    <s v="Small"/>
    <s v="Valid"/>
  </r>
  <r>
    <s v="ORD-1310"/>
    <x v="2"/>
    <s v="Sagar Magar"/>
    <s v="9803-271124"/>
    <d v="2025-10-30T00:00:00"/>
    <s v="Returning"/>
    <x v="6"/>
    <s v="Quick Snacks Corner"/>
    <s v="Fast Food"/>
    <s v="MARGHERITA PIZZA"/>
    <n v="1"/>
    <s v="R-112"/>
    <x v="1"/>
    <m/>
    <s v="Delivered"/>
    <s v=""/>
    <n v="5"/>
    <n v="610"/>
    <m/>
    <s v="ORD-1310 | Pokhara | MARGHERITA PIZZA"/>
    <s v="POKHARA"/>
    <s v="cash on delivery"/>
    <n v="550"/>
    <n v="550"/>
    <n v="70"/>
    <n v="0"/>
    <n v="620"/>
    <s v="Pokhara"/>
    <s v="Medium"/>
    <s v="Valid"/>
  </r>
  <r>
    <s v="ORD-1013"/>
    <x v="100"/>
    <s v="Sunita Magar"/>
    <s v="9842-731672"/>
    <d v="2025-05-07T00:00:00"/>
    <s v="Returning"/>
    <x v="3"/>
    <s v="Newa Kitchen"/>
    <s v="Newari Khana"/>
    <s v="Aloo Achar"/>
    <n v="3"/>
    <s v="R-119"/>
    <x v="0"/>
    <m/>
    <s v="Delivered"/>
    <s v=""/>
    <n v="2"/>
    <n v="43"/>
    <m/>
    <s v="ORD-1013 | Butwal | Aloo Achar"/>
    <s v="BUTWAL"/>
    <s v="esewa"/>
    <n v="120"/>
    <n v="360"/>
    <n v="85"/>
    <n v="0"/>
    <n v="445"/>
    <s v="Butwal"/>
    <s v="Small"/>
    <s v="Valid"/>
  </r>
  <r>
    <s v="ORD-1218"/>
    <x v="105"/>
    <s v="Ramesh Tamang"/>
    <s v="9868-656355"/>
    <d v="2025-08-16T00:00:00"/>
    <s v="Returning"/>
    <x v="2"/>
    <s v="Bhattarai Momo Center"/>
    <s v="Momo"/>
    <s v="Jhol Momo"/>
    <n v="2"/>
    <s v="R-122"/>
    <x v="3"/>
    <s v="WELCOME50"/>
    <s v="Delivered"/>
    <s v=""/>
    <n v="5"/>
    <n v="53"/>
    <s v="good food, will order again"/>
    <s v="ORD-1218 | Chitwan | Jhol Momo"/>
    <s v="CHITWAN"/>
    <s v="ime pay"/>
    <n v="200"/>
    <n v="400"/>
    <n v="80"/>
    <n v="50"/>
    <n v="430"/>
    <s v="Chitwan"/>
    <s v="Small"/>
    <s v="Valid"/>
  </r>
  <r>
    <s v="ORD-1155"/>
    <x v="63"/>
    <s v="Ramesh Chhetri"/>
    <s v="9876-174093"/>
    <d v="2025-10-07T00:00:00"/>
    <s v="Returning"/>
    <x v="1"/>
    <s v="Bhattarai Momo Center"/>
    <s v="Momo"/>
    <s v="Chicken Momo (Fried)"/>
    <n v="2"/>
    <s v="R-102"/>
    <x v="0"/>
    <s v="TIHAR15"/>
    <s v="Cancelled"/>
    <s v=""/>
    <m/>
    <n v="34"/>
    <m/>
    <s v="ORD-1155 | Kathmandu | CHICKEN MOMO (FRIED)"/>
    <s v="KATHMANDU"/>
    <s v="esewa"/>
    <n v="210"/>
    <n v="420"/>
    <n v="50"/>
    <n v="63"/>
    <n v="407"/>
    <s v="Kathmandu"/>
    <s v="Small"/>
    <s v="Valid"/>
  </r>
  <r>
    <s v="ORD-1132"/>
    <x v="44"/>
    <s v="Bina Shrestha"/>
    <s v="9881-741433"/>
    <d v="2025-02-12T00:00:00"/>
    <s v="Returning"/>
    <x v="2"/>
    <s v="Wok Point"/>
    <s v="Chinese"/>
    <s v="Chicken Manchurian"/>
    <n v="3"/>
    <s v="R-121"/>
    <x v="2"/>
    <s v="TIHAR15"/>
    <s v="Delivered"/>
    <s v=""/>
    <n v="5"/>
    <n v="39"/>
    <s v="quality was great as always"/>
    <s v="ORD-1132 | Chitwan | Chicken Manchurian"/>
    <s v="CHITWAN"/>
    <s v="khalti"/>
    <n v="320"/>
    <n v="960"/>
    <n v="80"/>
    <n v="144"/>
    <n v="896"/>
    <s v="Chitwan"/>
    <s v="Medium"/>
    <s v="Valid"/>
  </r>
  <r>
    <s v="ORD-1193"/>
    <x v="96"/>
    <s v="Sushmita Karki"/>
    <s v="9801-661318"/>
    <d v="2025-08-29T00:00:00"/>
    <s v="Returning"/>
    <x v="1"/>
    <s v="Himalayan Thakali Kitchen"/>
    <s v="Thakali Set"/>
    <s v="Chicken Thakali Set"/>
    <n v="3"/>
    <s v="R-101"/>
    <x v="2"/>
    <m/>
    <s v="Delivered"/>
    <s v=""/>
    <m/>
    <n v="30"/>
    <m/>
    <s v="ORD-1193 | Kathmandu | Chicken Thakali Set"/>
    <s v="KATHMANDU"/>
    <s v="khalti"/>
    <n v="480"/>
    <n v="1440"/>
    <n v="50"/>
    <n v="0"/>
    <n v="1490"/>
    <s v="Kathmandu"/>
    <s v="Large"/>
    <s v="Valid"/>
  </r>
  <r>
    <s v="ORD-1015"/>
    <x v="82"/>
    <s v="Manisha Bista"/>
    <s v="9886-843353"/>
    <d v="2025-08-12T00:00:00"/>
    <s v="New"/>
    <x v="7"/>
    <s v="Quick Snacks Corner"/>
    <s v="Fast Food"/>
    <s v="Veg Fried Rice"/>
    <n v="1"/>
    <s v="R-125"/>
    <x v="0"/>
    <s v="MONSOON30"/>
    <s v="Delivered"/>
    <s v=""/>
    <n v="4"/>
    <n v="48"/>
    <m/>
    <s v="ORD-1015 | Dharan | Veg Fried Rice"/>
    <s v="DHARAN"/>
    <s v="esewa"/>
    <n v="220"/>
    <n v="220"/>
    <n v="95"/>
    <n v="30"/>
    <n v="285"/>
    <s v="Dharan"/>
    <s v="Small"/>
    <s v="Valid"/>
  </r>
  <r>
    <s v="ORD-1115"/>
    <x v="62"/>
    <s v="Sujan Acharya"/>
    <s v="9855-459045"/>
    <d v="2025-02-13T00:00:00"/>
    <s v="Returning"/>
    <x v="4"/>
    <s v="Sweet Home Bakery"/>
    <s v="Bakery"/>
    <s v="Cheese Cake Slice"/>
    <n v="2"/>
    <s v="R-110"/>
    <x v="0"/>
    <m/>
    <s v="Cancelled"/>
    <s v=""/>
    <m/>
    <n v="26"/>
    <m/>
    <s v="ORD-1115 | Bhaktapur | Cheese Cake Slice"/>
    <s v="BHAKTAPUR"/>
    <s v="esewa"/>
    <n v="250"/>
    <n v="500"/>
    <n v="55"/>
    <n v="0"/>
    <n v="555"/>
    <s v="Bhaktapur"/>
    <s v="Medium"/>
    <s v="Valid"/>
  </r>
  <r>
    <s v="ORD-1147"/>
    <x v="69"/>
    <s v="Sagar Maharjan"/>
    <s v="9803-852808"/>
    <d v="2025-10-29T00:00:00"/>
    <s v="New"/>
    <x v="3"/>
    <s v="Newa Kitchen"/>
    <s v="Newari Khana"/>
    <s v="Sukuti Sandheko"/>
    <n v="4"/>
    <s v="R-120"/>
    <x v="3"/>
    <m/>
    <s v="Delivered"/>
    <s v=""/>
    <n v="3"/>
    <n v="38"/>
    <m/>
    <s v="ORD-1147 | Butwal | Sukuti Sandheko"/>
    <s v="BUTWAL"/>
    <s v="ime pay"/>
    <n v="350"/>
    <n v="1400"/>
    <n v="85"/>
    <n v="0"/>
    <n v="1485"/>
    <s v="Butwal"/>
    <s v="Large"/>
    <s v="Valid"/>
  </r>
  <r>
    <s v="ORD-1299"/>
    <x v="86"/>
    <s v="Kabita Adhikari"/>
    <s v="9800-859979"/>
    <d v="2025-11-05T00:00:00"/>
    <s v="Returning"/>
    <x v="5"/>
    <s v="Yeti Newari Bhoj"/>
    <s v="Newari Khana"/>
    <s v="Bara"/>
    <n v="2"/>
    <s v="R-109"/>
    <x v="1"/>
    <m/>
    <s v="Delivered"/>
    <s v=""/>
    <n v="4"/>
    <n v="42"/>
    <m/>
    <s v="ORD-1299 | Lalitpur | Bara"/>
    <s v="LALITPUR"/>
    <s v="cash on delivery"/>
    <n v="160"/>
    <n v="320"/>
    <n v="50"/>
    <n v="0"/>
    <n v="370"/>
    <s v="Lalitpur"/>
    <s v="Small"/>
    <s v="Valid"/>
  </r>
  <r>
    <s v="ORD-1248"/>
    <x v="106"/>
    <s v="Sushmita Dahal"/>
    <s v="9875-140261"/>
    <d v="2025-12-22T00:00:00"/>
    <s v="New"/>
    <x v="7"/>
    <s v="Quick Snacks Corner"/>
    <s v="Fast Food"/>
    <s v="chicken burger"/>
    <n v="4"/>
    <s v="R-124"/>
    <x v="0"/>
    <m/>
    <s v="Delivered"/>
    <s v=""/>
    <n v="4"/>
    <n v="42"/>
    <m/>
    <s v="ORD-1248 | Dharan | chicken burger"/>
    <s v="DHARAN"/>
    <s v="esewa"/>
    <n v="280"/>
    <n v="1120"/>
    <n v="95"/>
    <n v="0"/>
    <n v="1215"/>
    <s v="Dharan"/>
    <s v="Large"/>
    <s v="Valid"/>
  </r>
  <r>
    <s v="ORD-1091"/>
    <x v="95"/>
    <s v="Anita Khadka"/>
    <s v="9861-304451"/>
    <d v="2025-10-18T00:00:00"/>
    <s v="New"/>
    <x v="6"/>
    <s v="Fast Bites"/>
    <s v="Fast Food"/>
    <s v="  Veg Fried Rice"/>
    <n v="3"/>
    <s v="R-113"/>
    <x v="1"/>
    <s v="DASHAIN10"/>
    <s v="Cancelled"/>
    <s v=""/>
    <m/>
    <n v="50"/>
    <m/>
    <s v="ORD-1091 | Pokhara |   Veg Fried Rice"/>
    <s v="POKHARA"/>
    <s v="cash on delivery"/>
    <n v="220"/>
    <n v="660"/>
    <n v="70"/>
    <n v="66"/>
    <n v="664"/>
    <s v="Pokhara"/>
    <s v="Medium"/>
    <s v="Valid"/>
  </r>
  <r>
    <s v="ORD-1036"/>
    <x v="58"/>
    <s v="Bandana Bhattarai"/>
    <s v="9800-474395"/>
    <d v="2025-09-01T00:00:00"/>
    <s v="New"/>
    <x v="3"/>
    <s v="Fast Bites"/>
    <s v="Fast Food"/>
    <s v="French Fries"/>
    <n v="2"/>
    <s v="R-120"/>
    <x v="0"/>
    <m/>
    <s v="Delivered"/>
    <s v=""/>
    <n v="2"/>
    <n v="30"/>
    <m/>
    <s v="ORD-1036 | Butwal | French Fries"/>
    <s v="BUTWAL"/>
    <s v="esewa"/>
    <n v="160"/>
    <n v="320"/>
    <n v="85"/>
    <n v="0"/>
    <n v="405"/>
    <s v="Butwal"/>
    <s v="Small"/>
    <s v="Valid"/>
  </r>
  <r>
    <s v="ORD-1141"/>
    <x v="10"/>
    <s v="Rajan Maharjan"/>
    <s v="9862-019132"/>
    <d v="2025-08-05T00:00:00"/>
    <s v="Returning"/>
    <x v="7"/>
    <s v="Yeti Newari Bhoj"/>
    <s v="Newari Khana"/>
    <s v="Choila (Buff)"/>
    <n v="3"/>
    <s v="R-124"/>
    <x v="3"/>
    <m/>
    <s v="Delivered"/>
    <s v=""/>
    <n v="3"/>
    <n v="59"/>
    <s v="quantity was less than expected"/>
    <s v="ORD-1141 | Dharan | Choila (Buff)"/>
    <s v="DHARAN"/>
    <s v="ime pay"/>
    <n v="320"/>
    <n v="960"/>
    <n v="95"/>
    <n v="0"/>
    <n v="1055"/>
    <s v="Dharan"/>
    <s v="Large"/>
    <s v="Valid"/>
  </r>
  <r>
    <s v="ORD-1102"/>
    <x v="49"/>
    <s v="Kiran Gurung"/>
    <s v="9834-093056"/>
    <d v="2025-10-21T00:00:00"/>
    <s v="New"/>
    <x v="0"/>
    <s v="Thakali Ghar"/>
    <s v="Thakali Set"/>
    <s v="Mutton Thakali Set"/>
    <n v="2"/>
    <s v="R-116"/>
    <x v="2"/>
    <m/>
    <s v="Delivered"/>
    <s v=""/>
    <n v="3"/>
    <n v="41"/>
    <s v="delivery was very late"/>
    <s v="ORD-1102 | Biratnagar | Mutton Thakali Set"/>
    <s v="BIRATNAGAR"/>
    <s v="khalti"/>
    <n v="650"/>
    <n v="1300"/>
    <n v="90"/>
    <n v="0"/>
    <n v="1390"/>
    <s v="Biratnagar"/>
    <s v="Large"/>
    <s v="Valid"/>
  </r>
  <r>
    <s v="ORD-1286"/>
    <x v="107"/>
    <s v="Rajan Maharjan"/>
    <s v="9862-019132"/>
    <d v="2025-08-05T00:00:00"/>
    <s v="Returning"/>
    <x v="0"/>
    <s v="Quick Snacks Corner"/>
    <s v="Fast Food"/>
    <s v="Veg Burger  "/>
    <n v="3"/>
    <s v="R-117"/>
    <x v="3"/>
    <s v="FIRSTORDER"/>
    <s v="Delivered"/>
    <s v=""/>
    <n v="5"/>
    <n v="29"/>
    <m/>
    <s v="ORD-1286 | Biratnagar | Veg Burger  "/>
    <s v="BIRATNAGAR"/>
    <s v="ime pay"/>
    <n v="220"/>
    <n v="660"/>
    <n v="90"/>
    <n v="100"/>
    <n v="650"/>
    <s v="Biratnagar"/>
    <s v="Medium"/>
    <s v="Expired Code Used"/>
  </r>
  <r>
    <s v="ORD-1168"/>
    <x v="35"/>
    <s v="Ramesh Chhetri"/>
    <s v="9834-419792"/>
    <d v="2025-10-26T00:00:00"/>
    <s v="Returning"/>
    <x v="0"/>
    <s v="Himalayan Bakers"/>
    <s v="Bakery"/>
    <s v="Laddu (5 pcs)"/>
    <n v="1"/>
    <s v="R-118"/>
    <x v="2"/>
    <m/>
    <s v="Cancelled"/>
    <s v=""/>
    <m/>
    <n v="36"/>
    <s v="average, nothing special"/>
    <s v="ORD-1168 | Biratnagar | Laddu (5 pcs)"/>
    <s v="BIRATNAGAR"/>
    <s v="khalti"/>
    <n v="180"/>
    <n v="180"/>
    <n v="90"/>
    <n v="0"/>
    <n v="270"/>
    <s v="Biratnagar"/>
    <s v="Small"/>
    <s v="Valid"/>
  </r>
  <r>
    <s v="ORD-1044"/>
    <x v="11"/>
    <s v="Sita Tamang"/>
    <s v="9831-430154"/>
    <d v="2025-09-08T00:00:00"/>
    <s v="New"/>
    <x v="3"/>
    <s v="Chiya Adda"/>
    <s v="Beverages"/>
    <s v="Lassi"/>
    <n v="1"/>
    <s v="R-119"/>
    <x v="4"/>
    <s v="WEEKEND10"/>
    <s v="Delivered"/>
    <s v=""/>
    <n v="3"/>
    <n v="25"/>
    <m/>
    <s v="ORD-1044 | Butwal | Lassi"/>
    <s v="BUTWAL"/>
    <s v="connectips"/>
    <n v="130"/>
    <n v="130"/>
    <n v="85"/>
    <n v="13"/>
    <n v="202"/>
    <s v="Butwal"/>
    <s v="Small"/>
    <s v="Valid"/>
  </r>
  <r>
    <s v="ORD-1152"/>
    <x v="63"/>
    <s v="Pradeep Gurung"/>
    <s v="9843-520561"/>
    <d v="2025-10-31T00:00:00"/>
    <s v="New"/>
    <x v="1"/>
    <s v="Himalayan Bakers"/>
    <s v="Bakery"/>
    <s v="Barfi (5 pcs)"/>
    <n v="2"/>
    <s v="R-104"/>
    <x v="3"/>
    <s v="TIHAR15"/>
    <s v="Cancelled"/>
    <s v=""/>
    <m/>
    <n v="21"/>
    <s v="okay experience"/>
    <s v="ORD-1152 | Kathmandu | BARFI (5 PCS)"/>
    <s v="KATHMANDU"/>
    <s v="ime pay"/>
    <n v="220"/>
    <n v="440"/>
    <n v="50"/>
    <n v="66"/>
    <n v="424"/>
    <s v="Kathmandu"/>
    <s v="Small"/>
    <s v="Valid"/>
  </r>
  <r>
    <s v="ORD-1266"/>
    <x v="43"/>
    <s v="Suresh Magar"/>
    <s v="9822-791805"/>
    <d v="2025-08-02T00:00:00"/>
    <s v="Returning"/>
    <x v="4"/>
    <s v="Quick Snacks Corner"/>
    <s v="Fast Food"/>
    <s v="French Fries"/>
    <n v="1"/>
    <s v="R-110"/>
    <x v="2"/>
    <m/>
    <s v="Delivered"/>
    <s v=""/>
    <n v="4"/>
    <n v="23"/>
    <m/>
    <s v="ORD-1266 | Bhaktapur | French Fries"/>
    <s v="BHAKTAPUR"/>
    <s v="khalti"/>
    <n v="160"/>
    <n v="160"/>
    <n v="55"/>
    <n v="0"/>
    <n v="215"/>
    <s v="Bhaktapur"/>
    <s v="Small"/>
    <s v="Valid"/>
  </r>
  <r>
    <s v="ORD-1109"/>
    <x v="33"/>
    <s v="Sushmita Poudel"/>
    <s v="9855-032624"/>
    <d v="2025-10-23T00:00:00"/>
    <s v="New"/>
    <x v="6"/>
    <s v="Himalayan Bakers"/>
    <s v="Bakery"/>
    <s v="  Cheese Cake Slice"/>
    <n v="3"/>
    <s v="R-114"/>
    <x v="4"/>
    <s v="DASHAIN10"/>
    <s v="Delivered"/>
    <s v=""/>
    <n v="5"/>
    <n v="36"/>
    <m/>
    <s v="ORD-1109 | Pokhara |   Cheese Cake Slice"/>
    <s v="POKHARA"/>
    <s v="connectips"/>
    <n v="250"/>
    <n v="750"/>
    <n v="70"/>
    <n v="75"/>
    <n v="745"/>
    <s v="Pokhara"/>
    <s v="Medium"/>
    <s v="Valid"/>
  </r>
  <r>
    <s v="ORD-1220"/>
    <x v="108"/>
    <s v="Saroj Lama"/>
    <s v="9844-604956"/>
    <d v="2025-12-06T00:00:00"/>
    <s v="New"/>
    <x v="5"/>
    <s v="Quick Snacks Corner"/>
    <s v="Fast Food"/>
    <s v="chicken burger"/>
    <n v="1"/>
    <s v="R-109"/>
    <x v="2"/>
    <m/>
    <s v="Delivered"/>
    <s v=""/>
    <n v="4"/>
    <n v="47"/>
    <s v="Fast delivery today"/>
    <s v="ORD-1220 | Lalitpur | chicken burger"/>
    <s v="LALITPUR"/>
    <s v="khalti"/>
    <n v="280"/>
    <n v="280"/>
    <n v="50"/>
    <n v="0"/>
    <n v="330"/>
    <s v="Lalitpur"/>
    <s v="Small"/>
    <s v="Valid"/>
  </r>
  <r>
    <s v="ORD-1100"/>
    <x v="49"/>
    <s v="Ramesh Shrestha"/>
    <s v="9800-251678"/>
    <d v="2025-08-11T00:00:00"/>
    <s v="Returning"/>
    <x v="0"/>
    <s v="Himalayan Bakers"/>
    <s v="Bakery"/>
    <s v="Barfi (5 pcs)"/>
    <n v="4"/>
    <s v="R-117"/>
    <x v="0"/>
    <s v="DASHAIN10"/>
    <s v="Cancelled"/>
    <s v=""/>
    <m/>
    <n v="480"/>
    <m/>
    <s v="ORD-1100 | Biratnagar | Barfi (5 pcs)"/>
    <s v="BIRATNAGAR"/>
    <s v="esewa"/>
    <n v="220"/>
    <n v="880"/>
    <n v="90"/>
    <n v="88"/>
    <n v="882"/>
    <s v="Biratnagar"/>
    <s v="Medium"/>
    <s v="Valid"/>
  </r>
  <r>
    <s v="ORD-1191"/>
    <x v="109"/>
    <s v="Kiran Lama"/>
    <s v="9800-267511"/>
    <d v="2025-10-17T00:00:00"/>
    <s v="Returning"/>
    <x v="6"/>
    <s v="Newa Kitchen"/>
    <s v="Newari Khana"/>
    <s v="Sukuti Sandheko"/>
    <n v="1"/>
    <s v="R-114"/>
    <x v="0"/>
    <s v="TIHAR15"/>
    <s v="Delivered"/>
    <s v=""/>
    <n v="5"/>
    <n v="35"/>
    <s v="best momo in town"/>
    <s v="ORD-1191 | Pokhara | Sukuti Sandheko"/>
    <s v="POKHARA"/>
    <s v="esewa"/>
    <n v="350"/>
    <n v="350"/>
    <n v="70"/>
    <n v="52.5"/>
    <n v="367.5"/>
    <s v="Pokhara"/>
    <s v="Small"/>
    <s v="Valid"/>
  </r>
  <r>
    <s v="ORD-1089"/>
    <x v="95"/>
    <s v="Rita Gurung"/>
    <s v="9874-137484"/>
    <d v="2025-10-17T00:00:00"/>
    <s v="New"/>
    <x v="6"/>
    <s v="Chiya Adda"/>
    <s v="Beverages"/>
    <s v="Milk Tea  "/>
    <n v="2"/>
    <s v="R-112"/>
    <x v="0"/>
    <s v="DASHAIN10"/>
    <s v="Delivered"/>
    <s v=""/>
    <n v="4"/>
    <n v="35"/>
    <s v="Tasty and fresh, loved it"/>
    <s v="ORD-1089 | Pokhara | Milk Tea  "/>
    <s v="POKHARA"/>
    <s v="esewa"/>
    <n v="60"/>
    <n v="120"/>
    <n v="70"/>
    <n v="12"/>
    <n v="178"/>
    <s v="Pokhara"/>
    <s v="Small"/>
    <s v="Valid"/>
  </r>
  <r>
    <s v="ORD-1282"/>
    <x v="110"/>
    <s v="Gopal Shrestha"/>
    <s v="9848-525388"/>
    <d v="2026-01-08T00:00:00"/>
    <s v="New"/>
    <x v="6"/>
    <s v="Thakali Ghar"/>
    <s v="Thakali Set"/>
    <s v="Mutton Thakali Set  "/>
    <n v="1"/>
    <s v="R-115"/>
    <x v="4"/>
    <m/>
    <s v="Delivered"/>
    <s v=""/>
    <n v="5"/>
    <n v="45"/>
    <s v="packaging was nice"/>
    <s v="ORD-1282 | Pokhara | Mutton Thakali Set  "/>
    <s v="POKHARA"/>
    <s v="connectips"/>
    <n v="650"/>
    <n v="650"/>
    <n v="70"/>
    <n v="0"/>
    <n v="720"/>
    <s v="Pokhara"/>
    <s v="Medium"/>
    <s v="Valid"/>
  </r>
  <r>
    <s v="ORD-1008"/>
    <x v="111"/>
    <s v="Ramesh Lama"/>
    <s v="9853-705656"/>
    <d v="2025-08-08T00:00:00"/>
    <s v="New"/>
    <x v="5"/>
    <s v="Chiya Adda"/>
    <s v="Beverages"/>
    <s v="LEMON SODA"/>
    <n v="1"/>
    <s v="R-107"/>
    <x v="3"/>
    <m/>
    <s v="Delivered"/>
    <s v=""/>
    <n v="4"/>
    <n v="31"/>
    <m/>
    <s v="ORD-1008 | Lalitpur | Lemon Soda"/>
    <s v="LALITPUR"/>
    <s v="ime pay"/>
    <n v="100"/>
    <n v="100"/>
    <n v="50"/>
    <n v="0"/>
    <n v="150"/>
    <s v="Lalitpur"/>
    <s v="Small"/>
    <s v="Valid"/>
  </r>
  <r>
    <s v="ORD-1267"/>
    <x v="43"/>
    <s v="Pradeep Limbu"/>
    <s v="9806-071043"/>
    <d v="2025-04-20T00:00:00"/>
    <s v="Returning"/>
    <x v="5"/>
    <s v="Fast Bites"/>
    <s v="Fast Food"/>
    <s v="FRENCH FRIES"/>
    <n v="2"/>
    <s v="R-109"/>
    <x v="2"/>
    <m/>
    <s v="Delivered"/>
    <s v=""/>
    <n v="4"/>
    <n v="33"/>
    <s v="good food, will order again"/>
    <s v="ORD-1267 | Lalitpur | FRENCH FRIES"/>
    <s v="LALITPUR"/>
    <s v="khalti"/>
    <n v="160"/>
    <n v="320"/>
    <n v="50"/>
    <n v="0"/>
    <n v="370"/>
    <s v="Lalitpur"/>
    <s v="Small"/>
    <s v="Valid"/>
  </r>
  <r>
    <s v="ORD-1129"/>
    <x v="44"/>
    <s v="Sujan Lama"/>
    <s v="9816-828126"/>
    <d v="2025-10-27T00:00:00"/>
    <s v="New"/>
    <x v="1"/>
    <s v="Chiya Adda"/>
    <s v="Beverages"/>
    <s v="Milk Tea"/>
    <n v="1"/>
    <s v="R-102"/>
    <x v="0"/>
    <m/>
    <s v="Delivered"/>
    <s v=""/>
    <n v="4"/>
    <n v="29"/>
    <s v="quality was great as always"/>
    <s v="ORD-1129 | Kathmandu | Milk Tea"/>
    <s v="KATHMANDU"/>
    <s v="esewa"/>
    <n v="60"/>
    <n v="60"/>
    <n v="50"/>
    <n v="0"/>
    <n v="110"/>
    <s v="Kathmandu"/>
    <s v="Small"/>
    <s v="Valid"/>
  </r>
  <r>
    <s v="ORD-1278"/>
    <x v="1"/>
    <s v="Bandana Khadka"/>
    <s v="9874-911862"/>
    <d v="2025-10-25T00:00:00"/>
    <s v="Returning"/>
    <x v="0"/>
    <s v="Yeti Newari Bhoj"/>
    <s v="Newari Khana"/>
    <s v="Sukuti Sandheko"/>
    <n v="3"/>
    <s v="R-116"/>
    <x v="3"/>
    <s v="WELCOME50"/>
    <s v="Cancelled"/>
    <s v=""/>
    <m/>
    <n v="67"/>
    <s v="average, nothing special"/>
    <s v="ORD-1278 | Biratnagar | Sukuti Sandheko"/>
    <s v="BIRATNAGAR"/>
    <s v="ime pay"/>
    <n v="350"/>
    <n v="1050"/>
    <n v="90"/>
    <n v="50"/>
    <n v="1090"/>
    <s v="Biratnagar"/>
    <s v="Large"/>
    <s v="Valid"/>
  </r>
  <r>
    <s v="ORD-1211"/>
    <x v="112"/>
    <s v="Pradeep Maharjan"/>
    <s v="9848-372616"/>
    <d v="2025-08-20T00:00:00"/>
    <s v="Returning"/>
    <x v="6"/>
    <s v="Bhatti Sekuwa Corner"/>
    <s v="Sekuwa"/>
    <s v="Buff Sekuwa"/>
    <n v="4"/>
    <s v="R-113"/>
    <x v="2"/>
    <m/>
    <s v="Delivered"/>
    <s v=""/>
    <n v="4"/>
    <n v="35"/>
    <m/>
    <s v="ORD-1211 | Pokhara | BUFF SEKUWA"/>
    <s v="POKHARA"/>
    <s v="khalti"/>
    <n v="380"/>
    <n v="1520"/>
    <n v="70"/>
    <n v="0"/>
    <n v="1590"/>
    <s v="Pokhara"/>
    <s v="Large"/>
    <s v="Valid"/>
  </r>
  <r>
    <s v="ORD-1209"/>
    <x v="74"/>
    <s v="Rina Magar"/>
    <s v="9845-957117"/>
    <d v="2025-06-12T00:00:00"/>
    <s v="Returning"/>
    <x v="1"/>
    <s v="Bhattarai Momo Center"/>
    <s v="Momo"/>
    <s v="Veg Momo (Fried)  "/>
    <n v="2"/>
    <s v="R-105"/>
    <x v="2"/>
    <m/>
    <s v="Cancelled"/>
    <s v=""/>
    <m/>
    <n v="35"/>
    <s v="average, nothing special"/>
    <s v="ORD-1209 | Kathmandu | Veg Momo (Fried)  "/>
    <s v="KATHMANDU"/>
    <s v="khalti"/>
    <n v="160"/>
    <n v="320"/>
    <n v="50"/>
    <n v="0"/>
    <n v="370"/>
    <s v="Kathmandu"/>
    <s v="Small"/>
    <s v="Valid"/>
  </r>
  <r>
    <s v="ORD-1287"/>
    <x v="107"/>
    <s v="Puja Acharya"/>
    <s v="9879-711471"/>
    <d v="2025-10-31T00:00:00"/>
    <s v="Returning"/>
    <x v="3"/>
    <s v="Chiya Adda"/>
    <s v="Beverages"/>
    <s v="Lassi"/>
    <n v="2"/>
    <s v="R-120"/>
    <x v="0"/>
    <s v="WELCOME50"/>
    <s v="Delivered"/>
    <s v=""/>
    <n v="3"/>
    <n v="52"/>
    <s v="food was cold when it arrived"/>
    <s v="ORD-1287 | Butwal | Lassi"/>
    <s v="BUTWAL"/>
    <s v="esewa"/>
    <n v="130"/>
    <n v="260"/>
    <n v="85"/>
    <n v="50"/>
    <n v="295"/>
    <s v="Butwal"/>
    <s v="Small"/>
    <s v="Valid"/>
  </r>
  <r>
    <s v="ORD-1037"/>
    <x v="58"/>
    <s v="Sagar Khadka"/>
    <s v="9832-870465"/>
    <d v="2025-03-06T00:00:00"/>
    <s v="Returning"/>
    <x v="1"/>
    <s v="Fast Bites"/>
    <s v="Fast Food"/>
    <s v="French Fries"/>
    <n v="1"/>
    <s v="R-106"/>
    <x v="3"/>
    <m/>
    <s v="Cancelled"/>
    <s v=""/>
    <m/>
    <n v="8"/>
    <s v="average, nothing special"/>
    <s v="ORD-1037 | Kathmandu | French Fries"/>
    <s v="KATHMANDU"/>
    <s v="ime pay"/>
    <n v="160"/>
    <n v="160"/>
    <n v="50"/>
    <n v="0"/>
    <n v="210"/>
    <s v="Kathmandu"/>
    <s v="Small"/>
    <s v="Valid"/>
  </r>
  <r>
    <s v="ORD-1256"/>
    <x v="113"/>
    <s v="Sandhya Shrestha"/>
    <s v="9853-549306"/>
    <d v="2025-11-02T00:00:00"/>
    <s v="Returning"/>
    <x v="3"/>
    <s v="Bhattarai Momo Center"/>
    <s v="Momo"/>
    <s v="Buff Momo (Steamed)"/>
    <n v="1"/>
    <s v="R-120"/>
    <x v="0"/>
    <m/>
    <s v="Delivered"/>
    <s v=""/>
    <n v="3"/>
    <n v="36"/>
    <s v="rider could not find my house"/>
    <s v="ORD-1256 | Butwal | BUFF MOMO (STEAMED)"/>
    <s v="BUTWAL"/>
    <s v="esewa"/>
    <n v="170"/>
    <n v="170"/>
    <n v="85"/>
    <n v="0"/>
    <n v="255"/>
    <s v="Butwal"/>
    <s v="Small"/>
    <s v="Valid"/>
  </r>
  <r>
    <s v="ORD-1079"/>
    <x v="114"/>
    <s v="Ramesh Chhetri"/>
    <s v="9876-174093"/>
    <d v="2025-10-07T00:00:00"/>
    <s v="New"/>
    <x v="2"/>
    <s v="Quick Snacks Corner"/>
    <s v="Fast Food"/>
    <s v="Veg Burger"/>
    <n v="3"/>
    <s v="R-121"/>
    <x v="2"/>
    <s v="DASHAIN10"/>
    <s v="Delivered"/>
    <s v=""/>
    <n v="3"/>
    <n v="52"/>
    <m/>
    <s v="ORD-1079 | Chitwan | Veg Burger"/>
    <s v="CHITWAN"/>
    <s v="khalti"/>
    <n v="220"/>
    <n v="660"/>
    <n v="80"/>
    <n v="66"/>
    <n v="674"/>
    <s v="Chitwan"/>
    <s v="Medium"/>
    <s v="Valid"/>
  </r>
  <r>
    <s v="ORD-1213"/>
    <x v="115"/>
    <s v="Nisha Chhetri"/>
    <s v="9871-834170"/>
    <d v="2025-11-03T00:00:00"/>
    <s v="Returning"/>
    <x v="1"/>
    <s v="Sweet Home Bakery"/>
    <s v="Bakery"/>
    <s v="LADDU (5 PCS)"/>
    <n v="2"/>
    <s v="R-106"/>
    <x v="1"/>
    <s v="LOYAL100"/>
    <s v="Delivered"/>
    <s v=""/>
    <n v="5"/>
    <n v="25"/>
    <m/>
    <s v="ORD-1213 | Kathmandu | LADDU (5 PCS)"/>
    <s v="KATHMANDU"/>
    <s v="cash on delivery"/>
    <n v="180"/>
    <n v="360"/>
    <n v="50"/>
    <n v="100"/>
    <n v="310"/>
    <s v="Kathmandu"/>
    <s v="Small"/>
    <s v="Valid"/>
  </r>
  <r>
    <s v="ORD-1159"/>
    <x v="53"/>
    <s v="Bikash Maharjan"/>
    <s v="9868-288909"/>
    <d v="2025-10-26T00:00:00"/>
    <s v="Returning"/>
    <x v="3"/>
    <s v="Cafe Cup"/>
    <s v="Beverages"/>
    <s v="Black Coffee"/>
    <n v="2"/>
    <s v="R-119"/>
    <x v="3"/>
    <s v="TIHAR15"/>
    <s v="Delivered"/>
    <s v=""/>
    <n v="2"/>
    <n v="46"/>
    <m/>
    <s v="ORD-1159 | Butwal | Black Coffee"/>
    <s v="BUTWAL"/>
    <s v="ime pay"/>
    <n v="90"/>
    <n v="180"/>
    <n v="85"/>
    <n v="27"/>
    <n v="238"/>
    <s v="Butwal"/>
    <s v="Small"/>
    <s v="Valid"/>
  </r>
  <r>
    <s v="ORD-1306"/>
    <x v="0"/>
    <s v="Pradeep Khadka"/>
    <s v="9857-591836"/>
    <d v="2025-10-25T00:00:00"/>
    <s v="Returning"/>
    <x v="4"/>
    <s v="Quick Snacks Corner"/>
    <s v="Fast Food"/>
    <s v="Veg Burger"/>
    <n v="1"/>
    <s v="R-110"/>
    <x v="0"/>
    <m/>
    <s v="Delivered"/>
    <s v=""/>
    <n v="5"/>
    <n v="35"/>
    <m/>
    <s v="ORD-1306 | Bhaktapur | Veg Burger"/>
    <s v="BHAKTAPUR"/>
    <s v="esewa"/>
    <n v="220"/>
    <n v="220"/>
    <n v="55"/>
    <n v="0"/>
    <n v="275"/>
    <s v="Bhaktapur"/>
    <s v="Small"/>
    <s v="Valid"/>
  </r>
  <r>
    <s v="ORD-1001"/>
    <x v="116"/>
    <s v="Bikash Rai"/>
    <s v="9887-801759"/>
    <d v="2025-06-19T00:00:00"/>
    <s v="Returning"/>
    <x v="5"/>
    <s v="Yeti Newari Bhoj"/>
    <s v="Newari Khana"/>
    <s v="Chatamari"/>
    <n v="1"/>
    <s v="R-108"/>
    <x v="2"/>
    <m/>
    <s v="Delivered"/>
    <s v=""/>
    <n v="4"/>
    <n v="36"/>
    <m/>
    <s v="ORD-1001 | Lalitpur | Chatamari"/>
    <s v="LALITPUR"/>
    <s v="khalti"/>
    <n v="210"/>
    <n v="210"/>
    <n v="50"/>
    <n v="0"/>
    <n v="260"/>
    <s v="Lalitpur"/>
    <s v="Small"/>
    <s v="Valid"/>
  </r>
  <r>
    <s v="ORD-1214"/>
    <x v="117"/>
    <s v="Prakash Lama"/>
    <s v="9840-037614"/>
    <d v="2025-10-20T00:00:00"/>
    <s v="Returning"/>
    <x v="2"/>
    <s v="Kathmandu Momo House"/>
    <s v="Momo"/>
    <s v="Chicken Momo (Fried)"/>
    <n v="2"/>
    <s v="R-122"/>
    <x v="0"/>
    <m/>
    <s v="Delivered"/>
    <s v=""/>
    <n v="2"/>
    <n v="57"/>
    <m/>
    <s v="ORD-1214 | Chitwan | Chicken Momo (Fried)"/>
    <s v="CHITWAN"/>
    <s v="esewa"/>
    <n v="210"/>
    <n v="420"/>
    <n v="80"/>
    <n v="0"/>
    <n v="500"/>
    <s v="Chitwan"/>
    <s v="Medium"/>
    <s v="Valid"/>
  </r>
  <r>
    <s v="ORD-1035"/>
    <x v="118"/>
    <s v="Rina Magar"/>
    <s v="9845-957117"/>
    <d v="2025-06-12T00:00:00"/>
    <s v="Returning"/>
    <x v="2"/>
    <s v="Wok Point"/>
    <s v="Chinese"/>
    <s v="Veg Chopsuey"/>
    <n v="1"/>
    <s v="R-123"/>
    <x v="2"/>
    <m/>
    <s v="Delivered"/>
    <s v=""/>
    <n v="4"/>
    <n v="46"/>
    <m/>
    <s v="ORD-1035 | Chitwan | Veg Chopsuey"/>
    <s v="CHITWAN"/>
    <s v="khalti"/>
    <n v="260"/>
    <n v="260"/>
    <n v="80"/>
    <n v="0"/>
    <n v="340"/>
    <s v="Chitwan"/>
    <s v="Small"/>
    <s v="Valid"/>
  </r>
  <r>
    <s v="ORD-1257"/>
    <x v="15"/>
    <s v="Rina Lama"/>
    <s v="9883-645074"/>
    <d v="2025-10-27T00:00:00"/>
    <s v="Returning"/>
    <x v="1"/>
    <s v="Kathmandu Momo House"/>
    <s v="Momo"/>
    <s v="Veg Momo (Steamed)"/>
    <n v="1"/>
    <s v="R-103"/>
    <x v="0"/>
    <m/>
    <s v="Returned"/>
    <s v=""/>
    <m/>
    <n v="24"/>
    <m/>
    <s v="ORD-1257 | Kathmandu | Veg Momo (Steamed)"/>
    <s v="KATHMANDU"/>
    <s v="esewa"/>
    <n v="150"/>
    <n v="150"/>
    <n v="50"/>
    <n v="0"/>
    <n v="200"/>
    <s v="Kathmandu"/>
    <s v="Small"/>
    <s v="Valid"/>
  </r>
  <r>
    <s v="ORD-1291"/>
    <x v="79"/>
    <s v="Sandhya Adhikari"/>
    <s v="9865-632122"/>
    <d v="2026-01-14T00:00:00"/>
    <s v="New"/>
    <x v="2"/>
    <s v="Sekuwa Point"/>
    <s v="Sekuwa"/>
    <s v="Mutton Sekuwa"/>
    <n v="1"/>
    <s v="R-121"/>
    <x v="0"/>
    <m/>
    <s v="Delivered"/>
    <s v=""/>
    <n v="3"/>
    <n v="57"/>
    <s v="food was cold when it arrived"/>
    <s v="ORD-1291 | Chitwan | Mutton Sekuwa"/>
    <s v="CHITWAN"/>
    <s v="esewa"/>
    <n v="600"/>
    <n v="600"/>
    <n v="80"/>
    <n v="0"/>
    <n v="680"/>
    <s v="Chitwan"/>
    <s v="Medium"/>
    <s v="Valid"/>
  </r>
  <r>
    <s v="ORD-1069"/>
    <x v="25"/>
    <s v="Sushmita Acharya"/>
    <s v="9883-478878"/>
    <d v="2025-09-28T00:00:00"/>
    <s v="New"/>
    <x v="1"/>
    <s v="Cafe Cup"/>
    <s v="Beverages"/>
    <s v="Black Coffee"/>
    <n v="3"/>
    <s v="R-102"/>
    <x v="2"/>
    <s v="DASHAIN10"/>
    <s v="Delivered"/>
    <s v=""/>
    <n v="4"/>
    <n v="29"/>
    <m/>
    <s v="ORD-1069 | Kathmandu | Black Coffee"/>
    <s v="KATHMANDU"/>
    <s v="khalti"/>
    <n v="90"/>
    <n v="270"/>
    <n v="50"/>
    <n v="27"/>
    <n v="293"/>
    <s v="Kathmandu"/>
    <s v="Small"/>
    <s v="Valid"/>
  </r>
  <r>
    <s v="ORD-1074"/>
    <x v="119"/>
    <s v="Rajan Basnet"/>
    <s v="9897-465075"/>
    <d v="2025-09-11T00:00:00"/>
    <s v="Returning"/>
    <x v="0"/>
    <s v="Bhattarai Momo Center"/>
    <s v="Momo"/>
    <s v="Chicken Momo (Fried)"/>
    <n v="2"/>
    <s v="R-118"/>
    <x v="1"/>
    <s v="FIRSTORDER"/>
    <s v="Delivered"/>
    <s v=""/>
    <n v="4"/>
    <n v="36"/>
    <s v="packaging was nice"/>
    <s v="ORD-1074 | Biratnagar | chicken momo (fried)"/>
    <s v="BIRATNAGAR"/>
    <s v="cash on delivery"/>
    <n v="210"/>
    <n v="420"/>
    <n v="90"/>
    <n v="100"/>
    <n v="410"/>
    <s v="Biratnagar"/>
    <s v="Small"/>
    <s v="Valid"/>
  </r>
  <r>
    <s v="ORD-1011"/>
    <x v="120"/>
    <s v="Sabina Magar"/>
    <s v="9876-018955"/>
    <d v="2025-08-11T00:00:00"/>
    <s v="New"/>
    <x v="7"/>
    <s v="Newa Kitchen"/>
    <s v="Newari Khana"/>
    <s v="Choila (Buff)"/>
    <n v="3"/>
    <s v="R-124"/>
    <x v="0"/>
    <s v="MONSOON30"/>
    <s v="Delivered"/>
    <s v=""/>
    <n v="4"/>
    <n v="53"/>
    <s v="best momo in town"/>
    <s v="ORD-1011 | Dharan | Choila (Buff)"/>
    <s v="DHARAN"/>
    <s v="esewa"/>
    <n v="320"/>
    <n v="960"/>
    <n v="95"/>
    <n v="30"/>
    <n v="1025"/>
    <s v="Dharan"/>
    <s v="Large"/>
    <s v="Valid"/>
  </r>
  <r>
    <s v="ORD-1164"/>
    <x v="5"/>
    <s v="Sabina Chhetri"/>
    <s v="9862-833125"/>
    <d v="2025-11-01T00:00:00"/>
    <s v="New"/>
    <x v="2"/>
    <s v="Golden Dragon Kitchen"/>
    <s v="Chinese"/>
    <s v="chicken fried rice"/>
    <n v="4"/>
    <s v="R-123"/>
    <x v="2"/>
    <s v="TIHAR15"/>
    <s v="Cancelled"/>
    <s v=""/>
    <m/>
    <n v="46"/>
    <s v="fine I guess"/>
    <s v="ORD-1164 | Chitwan | Chicken Fried Rice"/>
    <s v="CHITWAN"/>
    <s v="khalti"/>
    <n v="260"/>
    <n v="1040"/>
    <n v="80"/>
    <n v="156"/>
    <n v="964"/>
    <s v="Chitwan"/>
    <s v="Medium"/>
    <s v="Valid"/>
  </r>
  <r>
    <s v="ORD-1322"/>
    <x v="30"/>
    <s v="Milan Bista"/>
    <s v="9861-125651"/>
    <d v="2026-01-29T00:00:00"/>
    <s v="New"/>
    <x v="4"/>
    <s v="Bhattarai Momo Center"/>
    <s v="Momo"/>
    <s v="Veg Momo (Fried)"/>
    <n v="1"/>
    <s v="R-111"/>
    <x v="2"/>
    <m/>
    <m/>
    <s v=" NEED REVIEW"/>
    <n v="4"/>
    <n v="22"/>
    <s v="best momo in town"/>
    <s v="ORD-1322 | Bhaktapur | veg momo (fried)"/>
    <s v="BHAKTAPUR"/>
    <s v="khalti"/>
    <n v="160"/>
    <n v="160"/>
    <n v="55"/>
    <n v="0"/>
    <n v="215"/>
    <s v="Bhaktapur"/>
    <s v="Small"/>
    <s v="Valid"/>
  </r>
  <r>
    <s v="ORD-1026"/>
    <x v="4"/>
    <s v="Pradeep Maharjan"/>
    <s v="9848-372616"/>
    <d v="2025-08-20T00:00:00"/>
    <s v="New"/>
    <x v="6"/>
    <s v="Fast Bites"/>
    <s v="Fast Food"/>
    <s v="Chicken Chowmein"/>
    <n v="1"/>
    <s v="R-112"/>
    <x v="3"/>
    <m/>
    <s v="Delivered"/>
    <s v=""/>
    <n v="5"/>
    <n v="23"/>
    <s v="packaging was nice"/>
    <s v="ORD-1026 | Pokhara | Chicken Chowmein"/>
    <s v="POKHARA"/>
    <s v="ime pay"/>
    <n v="250"/>
    <n v="250"/>
    <n v="70"/>
    <n v="0"/>
    <n v="320"/>
    <s v="Pokhara"/>
    <s v="Small"/>
    <s v="Valid"/>
  </r>
  <r>
    <s v="ORD-1190"/>
    <x v="109"/>
    <s v="Suresh Dahal"/>
    <s v="9828-159013"/>
    <d v="2025-10-29T00:00:00"/>
    <s v="Returning"/>
    <x v="2"/>
    <s v="Himalayan Bakers"/>
    <s v="Bakery"/>
    <s v="LADDU (5 PCS)"/>
    <n v="1"/>
    <s v="R-123"/>
    <x v="2"/>
    <s v="TIHAR15"/>
    <s v="Delivered"/>
    <s v=""/>
    <n v="2"/>
    <n v="57"/>
    <m/>
    <s v="ORD-1190 | Chitwan | LADDU (5 PCS)"/>
    <s v="CHITWAN"/>
    <s v="khalti"/>
    <n v="180"/>
    <n v="180"/>
    <n v="80"/>
    <n v="27"/>
    <n v="233"/>
    <s v="Chitwan"/>
    <s v="Small"/>
    <s v="Valid"/>
  </r>
  <r>
    <s v="ORD-1297"/>
    <x v="77"/>
    <s v="Deepak Basnet"/>
    <s v="9844-634786"/>
    <d v="2025-06-06T00:00:00"/>
    <s v="Returning"/>
    <x v="1"/>
    <s v="Himalayan Thakali Kitchen"/>
    <s v="Thakali Set"/>
    <s v="Veg Thakali Set"/>
    <n v="1"/>
    <s v="R-104"/>
    <x v="1"/>
    <s v="MOMO20"/>
    <s v="Cancelled"/>
    <s v=""/>
    <m/>
    <n v="35"/>
    <s v="average, nothing special"/>
    <s v="ORD-1297 | Kathmandu | Veg Thakali Set"/>
    <s v="KATHMANDU"/>
    <s v="cash on delivery"/>
    <n v="380"/>
    <n v="380"/>
    <n v="50"/>
    <n v="76"/>
    <n v="354"/>
    <s v="Kathmandu"/>
    <s v="Small"/>
    <s v="Valid"/>
  </r>
  <r>
    <s v="ORD-1240"/>
    <x v="121"/>
    <s v="Rita Bhattarai"/>
    <s v="9828-820018"/>
    <d v="2025-08-06T00:00:00"/>
    <s v="Returning"/>
    <x v="3"/>
    <s v="Kathmandu Momo House"/>
    <s v="Momo"/>
    <s v="Jhol Momo"/>
    <n v="3"/>
    <s v="R-119"/>
    <x v="3"/>
    <m/>
    <s v="Delivered"/>
    <s v=""/>
    <n v="3"/>
    <n v="38"/>
    <s v="not happy, order took too long"/>
    <s v="ORD-1240 | Butwal | Jhol Momo"/>
    <s v="BUTWAL"/>
    <s v="ime pay"/>
    <n v="200"/>
    <n v="600"/>
    <n v="85"/>
    <n v="0"/>
    <n v="685"/>
    <s v="Butwal"/>
    <s v="Medium"/>
    <s v="Valid"/>
  </r>
  <r>
    <s v="ORD-1042"/>
    <x v="122"/>
    <s v="Rajan Shakya"/>
    <s v="9826-199582"/>
    <d v="2025-09-04T00:00:00"/>
    <s v="New"/>
    <x v="7"/>
    <s v="Himalayan Bakers"/>
    <s v="Bakery"/>
    <s v="Sel Roti (4 pcs)"/>
    <n v="1"/>
    <s v="R-124"/>
    <x v="1"/>
    <m/>
    <s v="Cancelled"/>
    <s v=""/>
    <m/>
    <n v="63"/>
    <m/>
    <s v="ORD-1042 | Dharan | SEL ROTI (4 PCS)"/>
    <s v="DHARAN"/>
    <s v="cash on delivery"/>
    <n v="140"/>
    <n v="140"/>
    <n v="95"/>
    <n v="0"/>
    <n v="235"/>
    <s v="Dharan"/>
    <s v="Small"/>
    <s v="Valid"/>
  </r>
  <r>
    <s v="ORD-1194"/>
    <x v="92"/>
    <s v="Sabina Magar"/>
    <s v="9876-018955"/>
    <d v="2025-08-11T00:00:00"/>
    <s v="Returning"/>
    <x v="3"/>
    <s v="Golden Dragon Kitchen"/>
    <s v="Chinese"/>
    <s v="Chicken Manchurian  "/>
    <n v="2"/>
    <s v="R-119"/>
    <x v="0"/>
    <m/>
    <s v="Delivered"/>
    <s v=""/>
    <n v="3"/>
    <n v="46"/>
    <s v="not happy, order took too long"/>
    <s v="ORD-1194 | Butwal | Chicken Manchurian  "/>
    <s v="BUTWAL"/>
    <s v="esewa"/>
    <n v="320"/>
    <n v="640"/>
    <n v="85"/>
    <n v="0"/>
    <n v="725"/>
    <s v="Butwal"/>
    <s v="Medium"/>
    <s v="Valid"/>
  </r>
  <r>
    <s v="ORD-1153"/>
    <x v="63"/>
    <s v="Ramesh Chhetri"/>
    <s v="9834-419792"/>
    <d v="2025-10-26T00:00:00"/>
    <s v="Returning"/>
    <x v="1"/>
    <s v="Bhatti Sekuwa Corner"/>
    <s v="Sekuwa"/>
    <s v="Buff Sekuwa"/>
    <n v="1"/>
    <s v="R-103"/>
    <x v="1"/>
    <s v="TIHAR15"/>
    <s v="Delivered"/>
    <s v=""/>
    <n v="5"/>
    <n v="25"/>
    <m/>
    <s v="ORD-1153 | Kathmandu | Buff Sekuwa"/>
    <s v="KATHMANDU"/>
    <s v="cash on delivery"/>
    <n v="380"/>
    <n v="380"/>
    <n v="50"/>
    <n v="57"/>
    <n v="373"/>
    <s v="Kathmandu"/>
    <s v="Small"/>
    <s v="Valid"/>
  </r>
  <r>
    <s v="ORD-1093"/>
    <x v="28"/>
    <s v="Sujan Acharya"/>
    <s v="9855-459045"/>
    <d v="2025-02-13T00:00:00"/>
    <s v="Returning"/>
    <x v="3"/>
    <s v="Fast Bites"/>
    <s v="Fast Food"/>
    <s v="Chicken Pizza"/>
    <n v="4"/>
    <s v="R-119"/>
    <x v="4"/>
    <s v="FIRSTORDER"/>
    <s v="Delivered"/>
    <s v=""/>
    <n v="2"/>
    <n v="28"/>
    <s v="food was cold when it arrived"/>
    <s v="ORD-1093 | Butwal | Chicken Pizza"/>
    <s v="BUTWAL"/>
    <s v="connectips"/>
    <n v="650"/>
    <n v="2600"/>
    <n v="85"/>
    <n v="100"/>
    <n v="2585"/>
    <s v="Butwal"/>
    <s v="Large"/>
    <s v="Expired Code Used"/>
  </r>
  <r>
    <s v="ORD-1175"/>
    <x v="27"/>
    <s v="Pradeep Limbu"/>
    <s v="9887-780063"/>
    <d v="2025-06-27T00:00:00"/>
    <s v="Returning"/>
    <x v="4"/>
    <s v="Wok Point"/>
    <s v="Chinese"/>
    <s v="chicken fried rice"/>
    <n v="3"/>
    <s v="R-110"/>
    <x v="4"/>
    <s v="TIHAR15"/>
    <s v="Delivered"/>
    <s v=""/>
    <n v="5"/>
    <n v="31"/>
    <m/>
    <s v="ORD-1175 | Bhaktapur | Chicken Fried Rice"/>
    <s v="BHAKTAPUR"/>
    <s v="connectips"/>
    <n v="260"/>
    <n v="780"/>
    <n v="55"/>
    <n v="117"/>
    <n v="718"/>
    <s v="Bhaktapur"/>
    <s v="Medium"/>
    <s v="Valid"/>
  </r>
  <r>
    <s v="ORD-1039"/>
    <x v="58"/>
    <s v="Rohit Lama"/>
    <s v="9833-043483"/>
    <d v="2025-01-23T00:00:00"/>
    <s v="Returning"/>
    <x v="6"/>
    <s v="Chiya Adda"/>
    <s v="Beverages"/>
    <s v="LEMON SODA"/>
    <n v="2"/>
    <s v="R-115"/>
    <x v="1"/>
    <s v="WEEKEND10"/>
    <s v="Returned"/>
    <s v=""/>
    <m/>
    <n v="55"/>
    <s v="okay experience"/>
    <s v="ORD-1039 | Pokhara | Lemon Soda"/>
    <s v="POKHARA"/>
    <s v="cash on delivery"/>
    <n v="100"/>
    <n v="200"/>
    <n v="70"/>
    <n v="20"/>
    <n v="250"/>
    <s v="Pokhara"/>
    <s v="Small"/>
    <s v="Valid"/>
  </r>
  <r>
    <s v="ORD-1095"/>
    <x v="39"/>
    <s v="Kiran Bhattarai"/>
    <s v="9851-732904"/>
    <d v="2025-08-17T00:00:00"/>
    <s v="Returning"/>
    <x v="1"/>
    <s v="Wok Point"/>
    <s v="Chinese"/>
    <s v="Veg Chopsuey"/>
    <n v="1"/>
    <s v="R-105"/>
    <x v="1"/>
    <s v="MOMO20"/>
    <s v="Delivered"/>
    <s v=""/>
    <n v="4"/>
    <n v="27"/>
    <s v="packaging was nice"/>
    <s v="ORD-1095 | Kathmandu | Veg Chopsuey"/>
    <s v="KATHMANDU"/>
    <s v="cash on delivery"/>
    <n v="260"/>
    <n v="260"/>
    <n v="50"/>
    <n v="52"/>
    <n v="258"/>
    <s v="Kathmandu"/>
    <s v="Small"/>
    <s v="Valid"/>
  </r>
  <r>
    <s v="ORD-1004"/>
    <x v="97"/>
    <s v="Suresh Magar"/>
    <s v="9822-791805"/>
    <d v="2025-08-02T00:00:00"/>
    <s v="New"/>
    <x v="1"/>
    <s v="Sekuwa Point"/>
    <s v="Sekuwa"/>
    <s v="Buff Sekuwa"/>
    <n v="2"/>
    <s v="R-104"/>
    <x v="0"/>
    <s v="MOMO20"/>
    <s v="Delivered"/>
    <s v=""/>
    <n v="4"/>
    <n v="27"/>
    <s v="Fast delivery today"/>
    <s v="ORD-1004 | Kathmandu | Buff Sekuwa"/>
    <s v="KATHMANDU"/>
    <s v="esewa"/>
    <n v="380"/>
    <n v="760"/>
    <n v="50"/>
    <n v="152"/>
    <n v="658"/>
    <s v="Kathmandu"/>
    <s v="Medium"/>
    <s v="Valid"/>
  </r>
  <r>
    <s v="ORD-1125"/>
    <x v="93"/>
    <s v="Nabin Bhattarai"/>
    <s v="9805-877065"/>
    <d v="2025-10-26T00:00:00"/>
    <s v="New"/>
    <x v="2"/>
    <s v="Chiya Adda"/>
    <s v="Beverages"/>
    <s v="Milk Tea"/>
    <n v="2"/>
    <s v="R-122"/>
    <x v="2"/>
    <s v="TIHAR15"/>
    <s v="Delivered"/>
    <s v=""/>
    <n v="2"/>
    <n v="64"/>
    <m/>
    <s v="ORD-1125 | Chitwan | Milk Tea"/>
    <s v="CHITWAN"/>
    <s v="khalti"/>
    <n v="60"/>
    <n v="120"/>
    <n v="80"/>
    <n v="18"/>
    <n v="182"/>
    <s v="Chitwan"/>
    <s v="Small"/>
    <s v="Valid"/>
  </r>
  <r>
    <s v="ORD-1270"/>
    <x v="43"/>
    <s v="Sarita Karki"/>
    <s v="9889-869284"/>
    <d v="2025-10-10T00:00:00"/>
    <s v="Returning"/>
    <x v="2"/>
    <s v="Thakali Ghar"/>
    <s v="Thakali Set"/>
    <s v="Veg Thakali Set  "/>
    <n v="1"/>
    <s v="R-121"/>
    <x v="0"/>
    <m/>
    <s v="Delivered"/>
    <s v=""/>
    <n v="4"/>
    <n v="66"/>
    <s v="Fast delivery today"/>
    <s v="ORD-1270 | Chitwan | Veg Thakali Set  "/>
    <s v="CHITWAN"/>
    <s v="esewa"/>
    <n v="380"/>
    <n v="380"/>
    <n v="80"/>
    <n v="0"/>
    <n v="460"/>
    <s v="Chitwan"/>
    <s v="Small"/>
    <s v="Valid"/>
  </r>
  <r>
    <s v="ORD-1030"/>
    <x v="123"/>
    <s v="Manisha Gurung"/>
    <s v="9891-390996"/>
    <d v="2025-08-23T00:00:00"/>
    <s v="New"/>
    <x v="5"/>
    <s v="Himalayan Thakali Kitchen"/>
    <s v="Thakali Set"/>
    <s v="  Veg Thakali Set"/>
    <n v="1"/>
    <s v="R-109"/>
    <x v="0"/>
    <s v="WEEKEND10"/>
    <s v="Delivered"/>
    <s v=""/>
    <n v="5"/>
    <n v="25"/>
    <s v="best momo in town"/>
    <s v="ORD-1030 | Lalitpur |   Veg Thakali Set"/>
    <s v="LALITPUR"/>
    <s v="esewa"/>
    <n v="380"/>
    <n v="380"/>
    <n v="50"/>
    <n v="38"/>
    <n v="392"/>
    <s v="Lalitpur"/>
    <s v="Small"/>
    <s v="Valid"/>
  </r>
  <r>
    <s v="ORD-1202"/>
    <x v="6"/>
    <s v="Ramesh Poudel"/>
    <s v="9807-924402"/>
    <d v="2025-09-16T00:00:00"/>
    <s v="Returning"/>
    <x v="5"/>
    <s v="Newa Kitchen"/>
    <s v="Newari Khana"/>
    <s v="Sukuti Sandheko"/>
    <n v="2"/>
    <s v="R-109"/>
    <x v="1"/>
    <m/>
    <s v="Cancelled"/>
    <s v=""/>
    <m/>
    <n v="29"/>
    <s v="average, nothing special"/>
    <s v="ORD-1202 | Lalitpur | Sukuti Sandheko"/>
    <s v="LALITPUR"/>
    <s v="cash on delivery"/>
    <n v="350"/>
    <n v="700"/>
    <n v="50"/>
    <n v="0"/>
    <n v="750"/>
    <s v="Lalitpur"/>
    <s v="Medium"/>
    <s v="Valid"/>
  </r>
  <r>
    <s v="ORD-1319"/>
    <x v="30"/>
    <s v="Sagar Khadka"/>
    <s v="9832-870465"/>
    <d v="2025-03-06T00:00:00"/>
    <s v="Returning"/>
    <x v="4"/>
    <s v="Kathmandu Momo House"/>
    <s v="Momo"/>
    <s v="Chilli Momo"/>
    <n v="2"/>
    <s v="R-110"/>
    <x v="2"/>
    <m/>
    <s v="Delivered"/>
    <s v=""/>
    <n v="4"/>
    <n v="33"/>
    <s v="quality was great as always"/>
    <s v="ORD-1319 | Bhaktapur | Chilli Momo"/>
    <s v="BHAKTAPUR"/>
    <s v="khalti"/>
    <n v="220"/>
    <n v="440"/>
    <n v="55"/>
    <n v="0"/>
    <n v="495"/>
    <s v="Bhaktapur"/>
    <s v="Small"/>
    <s v="Valid"/>
  </r>
  <r>
    <s v="ORD-1126"/>
    <x v="93"/>
    <s v="Bikash Maharjan"/>
    <s v="9868-288909"/>
    <d v="2025-10-26T00:00:00"/>
    <s v="New"/>
    <x v="2"/>
    <s v="Fast Bites"/>
    <s v="Fast Food"/>
    <s v="Chicken Burger"/>
    <n v="2"/>
    <s v="R-123"/>
    <x v="2"/>
    <s v="TIHAR15"/>
    <s v="Delivered"/>
    <s v=""/>
    <n v="4"/>
    <n v="47"/>
    <s v="good food, will order again"/>
    <s v="ORD-1126 | Chitwan | Chicken Burger"/>
    <s v="CHITWAN"/>
    <s v="khalti"/>
    <n v="280"/>
    <n v="560"/>
    <n v="80"/>
    <n v="84"/>
    <n v="556"/>
    <s v="Chitwan"/>
    <s v="Medium"/>
    <s v="Valid"/>
  </r>
  <r>
    <s v="ORD-1215"/>
    <x v="117"/>
    <s v="Suresh Shrestha"/>
    <s v="9868-773132"/>
    <d v="2025-08-04T00:00:00"/>
    <s v="Returning"/>
    <x v="0"/>
    <s v="Kathmandu Momo House"/>
    <s v="Momo"/>
    <s v="Veg Momo (Fried)"/>
    <n v="1"/>
    <s v="R-117"/>
    <x v="2"/>
    <m/>
    <m/>
    <s v=" NEED REVIEW"/>
    <n v="4"/>
    <n v="29"/>
    <m/>
    <s v="ORD-1215 | Biratnagar | veg momo (fried)"/>
    <s v="BIRATNAGAR"/>
    <s v="khalti"/>
    <n v="160"/>
    <n v="160"/>
    <n v="90"/>
    <n v="0"/>
    <n v="250"/>
    <s v="Biratnagar"/>
    <s v="Small"/>
    <s v="Valid"/>
  </r>
  <r>
    <s v="ORD-1165"/>
    <x v="5"/>
    <s v="Gopal Chhetri"/>
    <s v="9845-378383"/>
    <d v="2025-11-02T00:00:00"/>
    <s v="New"/>
    <x v="0"/>
    <s v="Golden Dragon Kitchen"/>
    <s v="Chinese"/>
    <s v="chicken fried rice"/>
    <n v="2"/>
    <s v="R-118"/>
    <x v="4"/>
    <m/>
    <s v="Cancelled"/>
    <s v=""/>
    <m/>
    <n v="36"/>
    <m/>
    <s v="ORD-1165 | Biratnagar | Chicken Fried Rice"/>
    <s v="BIRATNAGAR"/>
    <s v="connectips"/>
    <n v="260"/>
    <n v="520"/>
    <n v="90"/>
    <n v="0"/>
    <n v="610"/>
    <s v="Biratnagar"/>
    <s v="Medium"/>
    <s v="Valid"/>
  </r>
  <r>
    <s v="ORD-1303"/>
    <x v="124"/>
    <s v="Prakash Lama"/>
    <s v="9840-037614"/>
    <d v="2025-10-20T00:00:00"/>
    <s v="Returning"/>
    <x v="0"/>
    <s v="Thakali Ghar"/>
    <s v="Thakali Set"/>
    <s v="Chicken Thakali Set  "/>
    <n v="1"/>
    <s v="R-116"/>
    <x v="3"/>
    <m/>
    <s v="Delivered"/>
    <s v=""/>
    <n v="5"/>
    <n v="26"/>
    <m/>
    <s v="ORD-1303 | Biratnagar | Chicken Thakali Set  "/>
    <s v="BIRATNAGAR"/>
    <s v="ime pay"/>
    <n v="480"/>
    <n v="480"/>
    <n v="90"/>
    <n v="0"/>
    <n v="570"/>
    <s v="Biratnagar"/>
    <s v="Medium"/>
    <s v="Valid"/>
  </r>
  <r>
    <s v="ORD-1184"/>
    <x v="22"/>
    <s v="Sujan Acharya"/>
    <s v="9825-449920"/>
    <d v="2025-09-27T00:00:00"/>
    <s v="Returning"/>
    <x v="0"/>
    <s v="Chiya Adda"/>
    <s v="Beverages"/>
    <s v="MANGO JUICE"/>
    <n v="2"/>
    <s v="R-117"/>
    <x v="0"/>
    <m/>
    <s v="Delivered"/>
    <s v=""/>
    <n v="4"/>
    <n v="38"/>
    <s v="quality was great as always"/>
    <s v="ORD-1184 | Biratnagar | Mango Juice"/>
    <s v="BIRATNAGAR"/>
    <s v="esewa"/>
    <n v="120"/>
    <n v="240"/>
    <n v="90"/>
    <n v="0"/>
    <n v="330"/>
    <s v="Biratnagar"/>
    <s v="Small"/>
    <s v="Valid"/>
  </r>
  <r>
    <s v="ORD-1206"/>
    <x v="125"/>
    <s v="Rina Adhikari"/>
    <s v="9867-272042"/>
    <d v="2025-03-27T00:00:00"/>
    <s v="Returning"/>
    <x v="4"/>
    <s v="Bhattarai Momo Center"/>
    <s v="Momo"/>
    <s v="Buff Momo (Steamed)"/>
    <n v="1"/>
    <s v="R-110"/>
    <x v="2"/>
    <m/>
    <s v="Delivered"/>
    <s v=""/>
    <n v="5"/>
    <n v="35"/>
    <m/>
    <s v="ORD-1206 | Bhaktapur | Buff Momo (Steamed)"/>
    <s v="BHAKTAPUR"/>
    <s v="khalti"/>
    <n v="170"/>
    <n v="170"/>
    <n v="55"/>
    <n v="0"/>
    <n v="225"/>
    <s v="Bhaktapur"/>
    <s v="Small"/>
    <s v="Valid"/>
  </r>
  <r>
    <s v="ORD-1315"/>
    <x v="126"/>
    <s v="Rita Adhikari"/>
    <s v="9883-380141"/>
    <d v="2025-09-09T00:00:00"/>
    <s v="Returning"/>
    <x v="6"/>
    <s v="Quick Snacks Corner"/>
    <s v="Fast Food"/>
    <s v="Chicken Burger"/>
    <n v="1"/>
    <s v="R-113"/>
    <x v="2"/>
    <m/>
    <s v="Cancelled"/>
    <s v=""/>
    <m/>
    <n v="26"/>
    <s v="average, nothing special"/>
    <s v="ORD-1315 | Pokhara | Chicken Burger"/>
    <s v="POKHARA"/>
    <s v="khalti"/>
    <n v="280"/>
    <n v="280"/>
    <n v="70"/>
    <n v="0"/>
    <n v="350"/>
    <s v="Pokhara"/>
    <s v="Small"/>
    <s v="Valid"/>
  </r>
  <r>
    <s v="ORD-1012"/>
    <x v="120"/>
    <s v="Ramesh Shrestha"/>
    <s v="9800-251678"/>
    <d v="2025-08-11T00:00:00"/>
    <s v="New"/>
    <x v="1"/>
    <s v="Sweet Home Bakery"/>
    <s v="Bakery"/>
    <s v="Cheese Cake Slice"/>
    <n v="1"/>
    <s v="R-105"/>
    <x v="2"/>
    <m/>
    <s v="Delivered"/>
    <s v=""/>
    <n v="5"/>
    <n v="27"/>
    <s v="quality was great as always"/>
    <s v="ORD-1012 | Kathmandu | Cheese Cake Slice"/>
    <s v="KATHMANDU"/>
    <s v="khalti"/>
    <n v="250"/>
    <n v="250"/>
    <n v="50"/>
    <n v="0"/>
    <n v="300"/>
    <s v="Kathmandu"/>
    <s v="Small"/>
    <s v="Valid"/>
  </r>
  <r>
    <s v="ORD-1302"/>
    <x v="127"/>
    <s v="Rajan Poudel"/>
    <s v="9808-246281"/>
    <d v="2025-09-09T00:00:00"/>
    <s v="Returning"/>
    <x v="5"/>
    <s v="Sweet Home Bakery"/>
    <s v="Bakery"/>
    <s v="Barfi (5 pcs)"/>
    <n v="1"/>
    <s v="R-109"/>
    <x v="3"/>
    <s v="FIRSTORDER"/>
    <s v="Delivered"/>
    <s v=""/>
    <n v="4"/>
    <n v="30"/>
    <s v="quality was great as always"/>
    <s v="ORD-1302 | Lalitpur | Barfi (5 pcs)"/>
    <s v="LALITPUR"/>
    <s v="ime pay"/>
    <n v="220"/>
    <n v="220"/>
    <n v="50"/>
    <n v="100"/>
    <n v="170"/>
    <s v="Lalitpur"/>
    <s v="Small"/>
    <s v="Expired Code Used"/>
  </r>
  <r>
    <s v="ORD-1050"/>
    <x v="55"/>
    <s v="Milan Thapa"/>
    <s v="9809-773797"/>
    <d v="2025-09-09T00:00:00"/>
    <s v="New"/>
    <x v="1"/>
    <s v="Wok Point"/>
    <s v="Chinese"/>
    <s v="chicken fried rice"/>
    <n v="1"/>
    <s v="R-101"/>
    <x v="0"/>
    <m/>
    <s v="Delivered"/>
    <s v=""/>
    <n v="3"/>
    <n v="30"/>
    <s v="delivery was very late"/>
    <s v="ORD-1050 | Kathmandu | Chicken Fried Rice"/>
    <s v="KATHMANDU"/>
    <s v="esewa"/>
    <n v="260"/>
    <n v="260"/>
    <n v="50"/>
    <n v="0"/>
    <n v="310"/>
    <s v="Kathmandu"/>
    <s v="Small"/>
    <s v="Valid"/>
  </r>
  <r>
    <s v="ORD-1285"/>
    <x v="128"/>
    <s v="Sagar Poudel"/>
    <s v="9861-078852"/>
    <d v="2026-01-10T00:00:00"/>
    <s v="New"/>
    <x v="6"/>
    <s v="Momo Hut"/>
    <s v="Momo"/>
    <s v="Chicken Momo (Fried)"/>
    <n v="1"/>
    <s v="R-115"/>
    <x v="1"/>
    <m/>
    <s v="Delivered"/>
    <s v=""/>
    <n v="3"/>
    <n v="41"/>
    <m/>
    <s v="ORD-1285 | Pokhara | Chicken Momo (Fried)"/>
    <s v="POKHARA"/>
    <s v="cash on delivery"/>
    <n v="210"/>
    <n v="210"/>
    <n v="70"/>
    <n v="0"/>
    <n v="280"/>
    <s v="Pokhara"/>
    <s v="Small"/>
    <s v="Valid"/>
  </r>
  <r>
    <s v="ORD-1279"/>
    <x v="41"/>
    <s v="Gopal Chhetri"/>
    <s v="9845-378383"/>
    <d v="2025-11-02T00:00:00"/>
    <s v="New"/>
    <x v="0"/>
    <s v="Fast Bites"/>
    <s v="Fast Food"/>
    <s v="Chicken Chowmein"/>
    <n v="3"/>
    <s v="R-117"/>
    <x v="2"/>
    <m/>
    <s v="Delivered"/>
    <s v=""/>
    <n v="5"/>
    <n v="41"/>
    <m/>
    <s v="ORD-1279 | Biratnagar | Chicken Chowmein"/>
    <s v="BIRATNAGAR"/>
    <s v="khalti"/>
    <n v="250"/>
    <n v="750"/>
    <n v="90"/>
    <n v="0"/>
    <n v="840"/>
    <s v="Biratnagar"/>
    <s v="Medium"/>
    <s v="Valid"/>
  </r>
  <r>
    <s v="ORD-1066"/>
    <x v="129"/>
    <s v="Anish Shakya"/>
    <s v="9836-546107"/>
    <d v="2025-09-26T00:00:00"/>
    <s v="New"/>
    <x v="6"/>
    <s v="Himalayan Bakers"/>
    <s v="Bakery"/>
    <s v="Cheese Cake Slice"/>
    <n v="1"/>
    <s v="R-115"/>
    <x v="4"/>
    <s v="DASHAIN10"/>
    <s v="Delivered"/>
    <s v=""/>
    <n v="5"/>
    <n v="15"/>
    <s v="quality was great as always"/>
    <s v="ORD-1066 | Pokhara | CHEESE CAKE SLICE"/>
    <s v="POKHARA"/>
    <s v="connectips"/>
    <n v="250"/>
    <n v="250"/>
    <n v="70"/>
    <n v="25"/>
    <n v="295"/>
    <s v="Pokhara"/>
    <s v="Small"/>
    <s v="Valid"/>
  </r>
  <r>
    <s v="ORD-1253"/>
    <x v="32"/>
    <s v="Pradeep Limbu"/>
    <s v="9887-780063"/>
    <d v="2025-06-27T00:00:00"/>
    <s v="Returning"/>
    <x v="1"/>
    <s v="Yeti Newari Bhoj"/>
    <s v="Newari Khana"/>
    <s v="Yomari"/>
    <n v="2"/>
    <s v="R-103"/>
    <x v="2"/>
    <s v="WEEKEND10"/>
    <s v="Delivered"/>
    <s v=""/>
    <n v="4"/>
    <n v="20"/>
    <m/>
    <s v="ORD-1253 | Kathmandu | Yomari"/>
    <s v="KATHMANDU"/>
    <s v="khalti"/>
    <n v="180"/>
    <n v="360"/>
    <n v="50"/>
    <n v="36"/>
    <n v="374"/>
    <s v="Kathmandu"/>
    <s v="Small"/>
    <s v="Valid"/>
  </r>
  <r>
    <s v="ORD-1068"/>
    <x v="71"/>
    <s v="Bandana Bhattarai"/>
    <s v="9800-474395"/>
    <d v="2025-09-01T00:00:00"/>
    <s v="Returning"/>
    <x v="1"/>
    <s v="Newa Kitchen"/>
    <s v="Newari Khana"/>
    <s v="Bara"/>
    <n v="1"/>
    <s v="R-104"/>
    <x v="2"/>
    <s v="DASHAIN10"/>
    <s v="Delivered"/>
    <s v=""/>
    <m/>
    <n v="36"/>
    <s v="okay experience"/>
    <s v="ORD-1068 | Kathmandu | Bara"/>
    <s v="KATHMANDU"/>
    <s v="khalti"/>
    <n v="160"/>
    <n v="160"/>
    <n v="50"/>
    <n v="16"/>
    <n v="194"/>
    <s v="Kathmandu"/>
    <s v="Small"/>
    <s v="Valid"/>
  </r>
  <r>
    <s v="ORD-1082"/>
    <x v="130"/>
    <s v="Bina Shrestha"/>
    <s v="9881-741433"/>
    <d v="2025-02-12T00:00:00"/>
    <s v="Returning"/>
    <x v="5"/>
    <s v="Fast Bites"/>
    <s v="Fast Food"/>
    <s v="  Chicken Chowmein"/>
    <n v="1"/>
    <s v="R-107"/>
    <x v="2"/>
    <m/>
    <s v="Delivered"/>
    <s v=""/>
    <n v="4"/>
    <n v="33"/>
    <m/>
    <s v="ORD-1082 | Lalitpur |   Chicken Chowmein"/>
    <s v="LALITPUR"/>
    <s v="khalti"/>
    <n v="250"/>
    <n v="250"/>
    <n v="50"/>
    <n v="0"/>
    <n v="300"/>
    <s v="Lalitpur"/>
    <s v="Small"/>
    <s v="Valid"/>
  </r>
  <r>
    <s v="ORD-1090"/>
    <x v="95"/>
    <s v="Anita Limbu"/>
    <s v="9824-180578"/>
    <d v="2025-10-17T00:00:00"/>
    <s v="New"/>
    <x v="3"/>
    <s v="Sweet Home Bakery"/>
    <s v="Bakery"/>
    <s v="  Barfi (5 pcs)"/>
    <n v="2"/>
    <s v="R-119"/>
    <x v="2"/>
    <m/>
    <s v="Delivered"/>
    <s v=""/>
    <n v="3"/>
    <n v="54"/>
    <m/>
    <s v="ORD-1090 | Butwal |   Barfi (5 pcs)"/>
    <s v="BUTWAL"/>
    <s v="khalti"/>
    <n v="220"/>
    <n v="440"/>
    <n v="85"/>
    <n v="0"/>
    <n v="525"/>
    <s v="Butwal"/>
    <s v="Medium"/>
    <s v="Valid"/>
  </r>
  <r>
    <s v="ORD-1222"/>
    <x v="42"/>
    <s v="Kiran Bhattarai"/>
    <s v="9842-821167"/>
    <d v="2025-12-09T00:00:00"/>
    <s v="New"/>
    <x v="0"/>
    <s v="Kathmandu Momo House"/>
    <s v="Momo"/>
    <s v="Chicken Momo (Steamed)"/>
    <n v="1"/>
    <s v="R-117"/>
    <x v="4"/>
    <m/>
    <s v="Delivered"/>
    <s v=""/>
    <n v="5"/>
    <n v="41"/>
    <s v="quality was great as always"/>
    <s v="ORD-1222 | Biratnagar | CHICKEN MOMO (STEAMED)"/>
    <s v="BIRATNAGAR"/>
    <s v="connectips"/>
    <n v="190"/>
    <n v="190"/>
    <n v="90"/>
    <n v="0"/>
    <n v="280"/>
    <s v="Biratnagar"/>
    <s v="Small"/>
    <s v="Valid"/>
  </r>
  <r>
    <s v="ORD-1075"/>
    <x v="119"/>
    <s v="Sita Maharjan"/>
    <s v="9880-021581"/>
    <d v="2025-09-16T00:00:00"/>
    <s v="Returning"/>
    <x v="5"/>
    <s v="Wok Point"/>
    <s v="Chinese"/>
    <s v="Chicken Manchurian"/>
    <n v="2"/>
    <s v="R-108"/>
    <x v="0"/>
    <s v="DASHAIN10"/>
    <s v="Delivered"/>
    <s v=""/>
    <n v="3"/>
    <n v="25"/>
    <s v="rider could not find my house"/>
    <s v="ORD-1075 | Lalitpur | CHICKEN MANCHURIAN"/>
    <s v="LALITPUR"/>
    <s v="esewa"/>
    <n v="320"/>
    <n v="640"/>
    <n v="50"/>
    <n v="64"/>
    <n v="626"/>
    <s v="Lalitpur"/>
    <s v="Medium"/>
    <s v="Valid"/>
  </r>
  <r>
    <s v="ORD-1087"/>
    <x v="101"/>
    <s v="Ashok Shrestha"/>
    <s v="9837-215901"/>
    <d v="2025-10-17T00:00:00"/>
    <s v="New"/>
    <x v="0"/>
    <s v="Thakali Ghar"/>
    <s v="Thakali Set"/>
    <s v="Veg Thakali Set"/>
    <n v="1"/>
    <s v="R-116"/>
    <x v="0"/>
    <s v="MONSOON30"/>
    <s v="Returned"/>
    <s v=""/>
    <m/>
    <n v="46"/>
    <m/>
    <s v="ORD-1087 | Biratnagar | veg thakali set"/>
    <s v="BIRATNAGAR"/>
    <s v="esewa"/>
    <n v="380"/>
    <n v="380"/>
    <n v="90"/>
    <n v="30"/>
    <n v="440"/>
    <s v="Biratnagar"/>
    <s v="Small"/>
    <s v="Expired Code Used"/>
  </r>
  <r>
    <s v="ORD-1195"/>
    <x v="92"/>
    <s v="Sagar Poudel"/>
    <s v="9896-937293"/>
    <d v="2025-08-22T00:00:00"/>
    <s v="Returning"/>
    <x v="5"/>
    <s v="Sekuwa Point"/>
    <s v="Sekuwa"/>
    <s v="Chicken Sekuwa"/>
    <n v="1"/>
    <s v="R-107"/>
    <x v="1"/>
    <s v="LOYAL100"/>
    <s v="Delivered"/>
    <s v=""/>
    <n v="4"/>
    <n v="30"/>
    <s v="good food, will order again"/>
    <s v="ORD-1195 | Lalitpur | Chicken Sekuwa"/>
    <s v="LALITPUR"/>
    <s v="cash on delivery"/>
    <n v="420"/>
    <n v="420"/>
    <n v="50"/>
    <n v="100"/>
    <n v="370"/>
    <s v="Lalitpur"/>
    <s v="Small"/>
    <s v="Valid"/>
  </r>
  <r>
    <s v="ORD-1032"/>
    <x v="68"/>
    <s v="Anish Tamang"/>
    <s v="9821-387837"/>
    <d v="2025-08-28T00:00:00"/>
    <s v="New"/>
    <x v="1"/>
    <s v="Quick Snacks Corner"/>
    <s v="Fast Food"/>
    <s v="Chicken Pizza"/>
    <n v="1"/>
    <s v="R-105"/>
    <x v="1"/>
    <m/>
    <s v="Delivered"/>
    <s v=""/>
    <n v="4"/>
    <n v="520"/>
    <m/>
    <s v="ORD-1032 | Kathmandu | Chicken Pizza"/>
    <s v="KATHMANDU"/>
    <s v="cash on delivery"/>
    <n v="650"/>
    <n v="650"/>
    <n v="50"/>
    <n v="0"/>
    <n v="700"/>
    <s v="Kathmandu"/>
    <s v="Medium"/>
    <s v="Valid"/>
  </r>
  <r>
    <s v="ORD-1033"/>
    <x v="131"/>
    <s v="Ramesh Shrestha"/>
    <s v="9800-251678"/>
    <d v="2025-08-11T00:00:00"/>
    <s v="Returning"/>
    <x v="6"/>
    <s v="Sweet Home Bakery"/>
    <s v="Bakery"/>
    <s v="Barfi (5 pcs)"/>
    <n v="2"/>
    <s v="R-113"/>
    <x v="0"/>
    <m/>
    <s v="Delivered"/>
    <s v=""/>
    <m/>
    <n v="43"/>
    <m/>
    <s v="ORD-1033 | Pokhara | Barfi (5 pcs)"/>
    <s v="POKHARA"/>
    <s v="esewa"/>
    <n v="220"/>
    <n v="440"/>
    <n v="70"/>
    <n v="0"/>
    <n v="510"/>
    <s v="Pokhara"/>
    <s v="Medium"/>
    <s v="Valid"/>
  </r>
  <r>
    <s v="ORD-1149"/>
    <x v="69"/>
    <s v="Sagar Magar"/>
    <s v="9803-271124"/>
    <d v="2025-10-30T00:00:00"/>
    <s v="New"/>
    <x v="5"/>
    <s v="Momo Hut"/>
    <s v="Momo"/>
    <s v="  Buff Momo (Steamed)"/>
    <n v="2"/>
    <s v="R-109"/>
    <x v="0"/>
    <s v="TIHAR15"/>
    <s v="Delivered"/>
    <s v=""/>
    <n v="5"/>
    <n v="4"/>
    <m/>
    <s v="ORD-1149 | Lalitpur |   Buff Momo (Steamed)"/>
    <s v="LALITPUR"/>
    <s v="esewa"/>
    <n v="170"/>
    <n v="340"/>
    <n v="50"/>
    <n v="51"/>
    <n v="339"/>
    <s v="Lalitpur"/>
    <s v="Small"/>
    <s v="Valid"/>
  </r>
  <r>
    <s v="ORD-1162"/>
    <x v="5"/>
    <s v="Rajan Adhikari"/>
    <s v="9886-844318"/>
    <d v="2025-11-01T00:00:00"/>
    <s v="New"/>
    <x v="1"/>
    <s v="Himalayan Bakers"/>
    <s v="Bakery"/>
    <s v="Chocolate Pastry"/>
    <n v="1"/>
    <s v="R-105"/>
    <x v="3"/>
    <s v="TIHAR15"/>
    <s v="Delivered"/>
    <s v=""/>
    <n v="5"/>
    <n v="21"/>
    <m/>
    <s v="ORD-1162 | Kathmandu | Chocolate Pastry"/>
    <s v="KATHMANDU"/>
    <s v="ime pay"/>
    <n v="150"/>
    <n v="150"/>
    <n v="50"/>
    <n v="22.5"/>
    <n v="177.5"/>
    <s v="Kathmandu"/>
    <s v="Small"/>
    <s v="Valid"/>
  </r>
  <r>
    <s v="ORD-1028"/>
    <x v="132"/>
    <s v="Kabita Limbu"/>
    <s v="9891-564041"/>
    <d v="2025-08-22T00:00:00"/>
    <s v="New"/>
    <x v="1"/>
    <s v="Newa Kitchen"/>
    <s v="Newari Khana"/>
    <s v="Choila (Buff)"/>
    <n v="1"/>
    <s v="R-104"/>
    <x v="1"/>
    <m/>
    <s v="Delivered"/>
    <s v=""/>
    <n v="4"/>
    <n v="27"/>
    <s v="Fast delivery today"/>
    <s v="ORD-1028 | Kathmandu | Choila (Buff)"/>
    <s v="KATHMANDU"/>
    <s v="cash on delivery"/>
    <n v="320"/>
    <n v="320"/>
    <n v="50"/>
    <n v="0"/>
    <n v="370"/>
    <s v="Kathmandu"/>
    <s v="Small"/>
    <s v="Valid"/>
  </r>
  <r>
    <s v="ORD-1123"/>
    <x v="93"/>
    <s v="Sagar Khadka"/>
    <s v="9832-870465"/>
    <d v="2025-03-06T00:00:00"/>
    <s v="Returning"/>
    <x v="1"/>
    <s v="Quick Snacks Corner"/>
    <s v="Fast Food"/>
    <s v="Veg Fried Rice"/>
    <n v="4"/>
    <s v="R-101"/>
    <x v="1"/>
    <s v="TIHAR15"/>
    <s v="Delivered"/>
    <s v=""/>
    <n v="4"/>
    <n v="28"/>
    <m/>
    <s v="ORD-1123 | Kathmandu | Veg Fried Rice"/>
    <s v="KATHMANDU"/>
    <s v="cash on delivery"/>
    <n v="220"/>
    <n v="880"/>
    <n v="50"/>
    <n v="132"/>
    <n v="798"/>
    <s v="Kathmandu"/>
    <s v="Medium"/>
    <s v="Valid"/>
  </r>
  <r>
    <s v="ORD-1052"/>
    <x v="133"/>
    <s v="Nirmala Dahal"/>
    <s v="9836-439008"/>
    <d v="2025-09-10T00:00:00"/>
    <s v="New"/>
    <x v="3"/>
    <s v="Sekuwa Point"/>
    <s v="Sekuwa"/>
    <s v="Buff Sekuwa"/>
    <n v="1"/>
    <s v="R-120"/>
    <x v="0"/>
    <s v="FIRSTORDER"/>
    <s v="Delivered"/>
    <s v=""/>
    <n v="2"/>
    <n v="28"/>
    <m/>
    <s v="ORD-1052 | Butwal | Buff Sekuwa"/>
    <s v="BUTWAL"/>
    <s v="esewa"/>
    <n v="380"/>
    <n v="380"/>
    <n v="85"/>
    <n v="100"/>
    <n v="365"/>
    <s v="Butwal"/>
    <s v="Small"/>
    <s v="Valid"/>
  </r>
  <r>
    <s v="ORD-1002"/>
    <x v="116"/>
    <s v="Prakash Gurung"/>
    <s v="9809-541858"/>
    <d v="2025-08-02T00:00:00"/>
    <s v="New"/>
    <x v="2"/>
    <s v="Fast Bites"/>
    <s v="Fast Food"/>
    <s v="French Fries  "/>
    <n v="1"/>
    <s v="R-123"/>
    <x v="0"/>
    <m/>
    <s v="Cancelled"/>
    <s v=""/>
    <m/>
    <n v="41"/>
    <m/>
    <s v="ORD-1002 | Chitwan | French Fries  "/>
    <s v="CHITWAN"/>
    <s v="esewa"/>
    <n v="160"/>
    <n v="160"/>
    <n v="80"/>
    <n v="0"/>
    <n v="240"/>
    <s v="Chitwan"/>
    <s v="Small"/>
    <s v="Valid"/>
  </r>
  <r>
    <s v="ORD-1228"/>
    <x v="56"/>
    <s v="Pradeep Tamang"/>
    <s v="9833-249351"/>
    <d v="2025-09-09T00:00:00"/>
    <s v="Returning"/>
    <x v="3"/>
    <s v="Sweet Home Bakery"/>
    <s v="Bakery"/>
    <s v="Laddu (5 pcs)"/>
    <n v="2"/>
    <s v="R-120"/>
    <x v="2"/>
    <m/>
    <s v="Delivered"/>
    <s v=""/>
    <n v="4"/>
    <n v="59"/>
    <s v="good food, will order again"/>
    <s v="ORD-1228 | Butwal | Laddu (5 pcs)"/>
    <s v="BUTWAL"/>
    <s v="khalti"/>
    <n v="180"/>
    <n v="360"/>
    <n v="85"/>
    <n v="0"/>
    <n v="445"/>
    <s v="Butwal"/>
    <s v="Small"/>
    <s v="Valid"/>
  </r>
  <r>
    <s v="ORD-1145"/>
    <x v="69"/>
    <s v="Prakash Gurung"/>
    <s v="9809-541858"/>
    <d v="2025-08-02T00:00:00"/>
    <s v="Returning"/>
    <x v="7"/>
    <s v="Himalayan Thakali Kitchen"/>
    <s v="Thakali Set"/>
    <s v="Mutton Thakali Set"/>
    <n v="2"/>
    <s v="R-124"/>
    <x v="0"/>
    <m/>
    <s v="Delivered"/>
    <s v=""/>
    <n v="3"/>
    <n v="56"/>
    <s v="rider could not find my house"/>
    <s v="ORD-1145 | Dharan | Mutton Thakali Set"/>
    <s v="DHARAN"/>
    <s v="esewa"/>
    <n v="650"/>
    <n v="1300"/>
    <n v="95"/>
    <n v="0"/>
    <n v="1395"/>
    <s v="Dharan"/>
    <s v="Large"/>
    <s v="Valid"/>
  </r>
  <r>
    <s v="ORD-1301"/>
    <x v="127"/>
    <s v="Ramesh Lama"/>
    <s v="9894-923597"/>
    <d v="2026-01-19T00:00:00"/>
    <s v="New"/>
    <x v="0"/>
    <s v="Newa Kitchen"/>
    <s v="Newari Khana"/>
    <s v="Bara"/>
    <n v="1"/>
    <s v="R-118"/>
    <x v="1"/>
    <m/>
    <s v="Delivered"/>
    <s v=""/>
    <n v="4"/>
    <n v="47"/>
    <m/>
    <s v="ORD-1301 | Biratnagar | Bara"/>
    <s v="BIRATNAGAR"/>
    <s v="cash on delivery"/>
    <n v="160"/>
    <n v="160"/>
    <n v="90"/>
    <n v="0"/>
    <n v="250"/>
    <s v="Biratnagar"/>
    <s v="Small"/>
    <s v="Valid"/>
  </r>
  <r>
    <s v="ORD-1163"/>
    <x v="5"/>
    <s v="Ashok Acharya"/>
    <s v="9893-158279"/>
    <d v="2025-10-19T00:00:00"/>
    <s v="Returning"/>
    <x v="6"/>
    <s v="Momo Hut"/>
    <s v="Momo"/>
    <s v="Jhol Momo"/>
    <n v="1"/>
    <s v="R-115"/>
    <x v="1"/>
    <s v="TIHAR15"/>
    <s v="Delivered"/>
    <s v=""/>
    <n v="5"/>
    <n v="26"/>
    <m/>
    <s v="ORD-1163 | Pokhara | Jhol Momo"/>
    <s v="POKHARA"/>
    <s v="cash on delivery"/>
    <n v="200"/>
    <n v="200"/>
    <n v="70"/>
    <n v="30"/>
    <n v="240"/>
    <s v="Pokhara"/>
    <s v="Small"/>
    <s v="Valid"/>
  </r>
  <r>
    <s v="ORD-1133"/>
    <x v="44"/>
    <s v="Nirmala Dahal"/>
    <s v="9836-439008"/>
    <d v="2025-09-10T00:00:00"/>
    <s v="Returning"/>
    <x v="1"/>
    <s v="Himalayan Thakali Kitchen"/>
    <s v="Thakali Set"/>
    <s v="  Mutton Thakali Set"/>
    <n v="3"/>
    <s v="R-102"/>
    <x v="0"/>
    <s v="TIHAR15"/>
    <s v="Returned"/>
    <s v=""/>
    <m/>
    <n v="33"/>
    <m/>
    <s v="ORD-1133 | Kathmandu |   Mutton Thakali Set"/>
    <s v="KATHMANDU"/>
    <s v="esewa"/>
    <n v="650"/>
    <n v="1950"/>
    <n v="50"/>
    <n v="292.5"/>
    <n v="1707.5"/>
    <s v="Kathmandu"/>
    <s v="Large"/>
    <s v="Valid"/>
  </r>
  <r>
    <s v="ORD-1255"/>
    <x v="134"/>
    <s v="Suresh Shrestha"/>
    <s v="9868-773132"/>
    <d v="2025-08-04T00:00:00"/>
    <s v="Returning"/>
    <x v="0"/>
    <s v="Quick Snacks Corner"/>
    <s v="Fast Food"/>
    <s v="Chicken Burger"/>
    <n v="1"/>
    <s v="R-117"/>
    <x v="1"/>
    <m/>
    <s v="Delivered"/>
    <s v=""/>
    <n v="4"/>
    <n v="44"/>
    <s v="packaging was nice"/>
    <s v="ORD-1255 | Biratnagar | Chicken Burger"/>
    <s v="BIRATNAGAR"/>
    <s v="cash on delivery"/>
    <n v="280"/>
    <n v="280"/>
    <n v="90"/>
    <n v="0"/>
    <n v="370"/>
    <s v="Biratnagar"/>
    <s v="Small"/>
    <s v="Valid"/>
  </r>
  <r>
    <s v="ORD-1246"/>
    <x v="84"/>
    <s v="Pradeep Rai"/>
    <s v="9824-023448"/>
    <d v="2025-12-23T00:00:00"/>
    <s v="New"/>
    <x v="1"/>
    <s v="Thakali Ghar"/>
    <s v="Thakali Set"/>
    <s v="Mutton Thakali Set"/>
    <n v="2"/>
    <s v="R-106"/>
    <x v="0"/>
    <s v="FIRSTORDER"/>
    <s v="Delivered"/>
    <s v=""/>
    <n v="4"/>
    <n v="37"/>
    <m/>
    <s v="ORD-1246 | Kathmandu | Mutton Thakali Set"/>
    <s v="KATHMANDU"/>
    <s v="esewa"/>
    <n v="650"/>
    <n v="1300"/>
    <n v="50"/>
    <n v="100"/>
    <n v="1250"/>
    <s v="Kathmandu"/>
    <s v="Large"/>
    <s v="Expired Code Used"/>
  </r>
  <r>
    <s v="ORD-1019"/>
    <x v="135"/>
    <s v="Ramesh Tamang"/>
    <s v="9868-656355"/>
    <d v="2025-08-16T00:00:00"/>
    <s v="New"/>
    <x v="1"/>
    <s v="Yeti Newari Bhoj"/>
    <s v="Newari Khana"/>
    <s v="Sukuti Sandheko"/>
    <n v="3"/>
    <s v="R-101"/>
    <x v="0"/>
    <m/>
    <s v="Delivered"/>
    <s v=""/>
    <n v="4"/>
    <n v="32"/>
    <m/>
    <s v="ORD-1019 | Kathmandu | Sukuti Sandheko"/>
    <s v="KATHMANDU"/>
    <s v="esewa"/>
    <n v="350"/>
    <n v="1050"/>
    <n v="50"/>
    <n v="0"/>
    <n v="1100"/>
    <s v="Kathmandu"/>
    <s v="Large"/>
    <s v="Valid"/>
  </r>
  <r>
    <s v="ORD-1172"/>
    <x v="27"/>
    <s v="Gopal Chhetri"/>
    <s v="9845-378383"/>
    <d v="2025-11-02T00:00:00"/>
    <s v="Returning"/>
    <x v="6"/>
    <s v="Cafe Cup"/>
    <s v="Beverages"/>
    <s v="Lassi"/>
    <n v="1"/>
    <s v="R-114"/>
    <x v="0"/>
    <s v="WEEKEND10"/>
    <s v="Delivered"/>
    <s v=""/>
    <n v="5"/>
    <n v="39"/>
    <m/>
    <s v="ORD-1172 | Pokhara | Lassi"/>
    <s v="POKHARA"/>
    <s v="esewa"/>
    <n v="130"/>
    <n v="130"/>
    <n v="70"/>
    <n v="13"/>
    <n v="187"/>
    <s v="Pokhara"/>
    <s v="Small"/>
    <s v="Valid"/>
  </r>
  <r>
    <s v="ORD-1006"/>
    <x v="23"/>
    <s v="Sita Bhattarai"/>
    <s v="9851-313735"/>
    <d v="2025-08-04T00:00:00"/>
    <s v="New"/>
    <x v="5"/>
    <s v="Chiya Adda"/>
    <s v="Beverages"/>
    <s v="Milk Tea"/>
    <n v="2"/>
    <s v="R-108"/>
    <x v="1"/>
    <m/>
    <s v="Delivered"/>
    <s v=""/>
    <n v="4"/>
    <n v="22"/>
    <s v="Fast delivery today"/>
    <s v="ORD-1006 | Lalitpur | Milk Tea"/>
    <s v="LALITPUR"/>
    <s v="cash on delivery"/>
    <n v="60"/>
    <n v="120"/>
    <n v="50"/>
    <n v="0"/>
    <n v="170"/>
    <s v="Lalitpur"/>
    <s v="Small"/>
    <s v="Valid"/>
  </r>
  <r>
    <s v="ORD-1207"/>
    <x v="136"/>
    <s v="Kiran Gurung"/>
    <s v="9834-093056"/>
    <d v="2025-10-21T00:00:00"/>
    <s v="Returning"/>
    <x v="6"/>
    <s v="Bhattarai Momo Center"/>
    <s v="Momo"/>
    <s v="Veg Momo (Steamed)"/>
    <n v="1"/>
    <s v="R-113"/>
    <x v="4"/>
    <m/>
    <s v="Delivered"/>
    <s v=""/>
    <n v="4"/>
    <n v="34"/>
    <m/>
    <s v="ORD-1207 | Pokhara | Veg Momo (Steamed)"/>
    <s v="POKHARA"/>
    <s v="connectips"/>
    <n v="150"/>
    <n v="150"/>
    <n v="70"/>
    <n v="0"/>
    <n v="220"/>
    <s v="Pokhara"/>
    <s v="Small"/>
    <s v="Valid"/>
  </r>
  <r>
    <s v="ORD-1221"/>
    <x v="137"/>
    <s v="Sita Khadka"/>
    <s v="9813-613412"/>
    <d v="2025-12-09T00:00:00"/>
    <s v="New"/>
    <x v="5"/>
    <s v="Quick Snacks Corner"/>
    <s v="Fast Food"/>
    <s v="Veg Burger"/>
    <n v="2"/>
    <s v="R-107"/>
    <x v="2"/>
    <s v="WELCOME50"/>
    <s v="Delivered"/>
    <s v=""/>
    <n v="4"/>
    <n v="24"/>
    <s v="quality was great as always"/>
    <s v="ORD-1221 | Lalitpur | Veg Burger"/>
    <s v="LALITPUR"/>
    <s v="khalti"/>
    <n v="220"/>
    <n v="440"/>
    <n v="50"/>
    <n v="50"/>
    <n v="440"/>
    <s v="Lalitpur"/>
    <s v="Small"/>
    <s v="Valid"/>
  </r>
  <r>
    <s v="ORD-1154"/>
    <x v="63"/>
    <s v="Nirmala Adhikari"/>
    <s v="9849-500324"/>
    <d v="2025-10-31T00:00:00"/>
    <s v="New"/>
    <x v="1"/>
    <s v="Himalayan Thakali Kitchen"/>
    <s v="Thakali Set"/>
    <s v="Veg Thakali Set"/>
    <n v="2"/>
    <s v="R-104"/>
    <x v="2"/>
    <s v="TIHAR15"/>
    <s v="Delivered"/>
    <s v=""/>
    <n v="5"/>
    <n v="23"/>
    <m/>
    <s v="ORD-1154 | Kathmandu | Veg Thakali Set"/>
    <s v="KATHMANDU"/>
    <s v="khalti"/>
    <n v="380"/>
    <n v="760"/>
    <n v="50"/>
    <n v="114"/>
    <n v="696"/>
    <s v="Kathmandu"/>
    <s v="Medium"/>
    <s v="Valid"/>
  </r>
  <r>
    <s v="ORD-1065"/>
    <x v="138"/>
    <s v="Pradeep Maharjan"/>
    <s v="9848-372616"/>
    <d v="2025-08-20T00:00:00"/>
    <s v="Returning"/>
    <x v="4"/>
    <s v="Cafe Cup"/>
    <s v="Beverages"/>
    <s v="Black Coffee  "/>
    <n v="3"/>
    <s v="R-110"/>
    <x v="2"/>
    <s v="DASHAIN10"/>
    <s v="Delivered"/>
    <s v=""/>
    <n v="4"/>
    <n v="20"/>
    <m/>
    <s v="ORD-1065 | Bhaktapur | Black Coffee  "/>
    <s v="BHAKTAPUR"/>
    <s v="khalti"/>
    <n v="90"/>
    <n v="270"/>
    <n v="55"/>
    <n v="27"/>
    <n v="298"/>
    <s v="Bhaktapur"/>
    <s v="Small"/>
    <s v="Valid"/>
  </r>
  <r>
    <s v="ORD-1108"/>
    <x v="33"/>
    <s v="Rajan Maharjan"/>
    <s v="9862-019132"/>
    <d v="2025-08-05T00:00:00"/>
    <s v="Returning"/>
    <x v="4"/>
    <s v="Momo Hut"/>
    <s v="Momo"/>
    <s v="Chilli Momo"/>
    <n v="4"/>
    <s v="R-110"/>
    <x v="3"/>
    <m/>
    <s v="Delivered"/>
    <s v=""/>
    <n v="4"/>
    <n v="22"/>
    <s v="packaging was nice"/>
    <s v="ORD-1108 | Bhaktapur | Chilli Momo"/>
    <s v="BHAKTAPUR"/>
    <s v="ime pay"/>
    <n v="220"/>
    <n v="880"/>
    <n v="55"/>
    <n v="0"/>
    <n v="935"/>
    <s v="Bhaktapur"/>
    <s v="Medium"/>
    <s v="Valid"/>
  </r>
  <r>
    <s v="ORD-1127"/>
    <x v="93"/>
    <s v="Manisha Thapa"/>
    <s v="9868-831067"/>
    <d v="2025-10-26T00:00:00"/>
    <s v="New"/>
    <x v="2"/>
    <s v="Quick Snacks Corner"/>
    <s v="Fast Food"/>
    <s v="Veg Burger"/>
    <n v="1"/>
    <s v="R-121"/>
    <x v="1"/>
    <m/>
    <s v="Returned"/>
    <s v=""/>
    <m/>
    <n v="71"/>
    <m/>
    <s v="ORD-1127 | Chitwan | Veg Burger"/>
    <s v="CHITWAN"/>
    <s v="cash on delivery"/>
    <n v="220"/>
    <n v="220"/>
    <n v="80"/>
    <n v="0"/>
    <n v="300"/>
    <s v="Chitwan"/>
    <s v="Small"/>
    <s v="Valid"/>
  </r>
  <r>
    <s v="ORD-1104"/>
    <x v="21"/>
    <s v="Prakash Lama"/>
    <s v="9840-037614"/>
    <d v="2025-10-20T00:00:00"/>
    <s v="New"/>
    <x v="0"/>
    <s v="Himalayan Bakers"/>
    <s v="Bakery"/>
    <s v="Cheese Cake Slice"/>
    <n v="1"/>
    <s v="R-116"/>
    <x v="2"/>
    <s v="DASHAIN10"/>
    <m/>
    <s v=" NEED REVIEW"/>
    <n v="5"/>
    <n v="42"/>
    <s v="Fast delivery today"/>
    <s v="ORD-1104 | Biratnagar | Cheese Cake Slice"/>
    <s v="BIRATNAGAR"/>
    <s v="khalti"/>
    <n v="250"/>
    <n v="250"/>
    <n v="90"/>
    <n v="25"/>
    <n v="315"/>
    <s v="Biratnagar"/>
    <s v="Small"/>
    <s v="Valid"/>
  </r>
  <r>
    <s v="ORD-1059"/>
    <x v="26"/>
    <s v="Sita Maharjan"/>
    <s v="9880-021581"/>
    <d v="2025-09-16T00:00:00"/>
    <s v="New"/>
    <x v="5"/>
    <s v="Sweet Home Bakery"/>
    <s v="Bakery"/>
    <s v="  Chocolate Pastry"/>
    <n v="2"/>
    <s v="R-108"/>
    <x v="1"/>
    <m/>
    <s v="Delivered"/>
    <s v=""/>
    <n v="5"/>
    <n v="23"/>
    <m/>
    <s v="ORD-1059 | Lalitpur |   Chocolate Pastry"/>
    <s v="LALITPUR"/>
    <s v="cash on delivery"/>
    <n v="150"/>
    <n v="300"/>
    <n v="50"/>
    <n v="0"/>
    <n v="350"/>
    <s v="Lalitpur"/>
    <s v="Small"/>
    <s v="Valid"/>
  </r>
  <r>
    <s v="ORD-1009"/>
    <x v="16"/>
    <s v="Nisha Bista"/>
    <s v="9874-121547"/>
    <d v="2025-08-10T00:00:00"/>
    <s v="New"/>
    <x v="0"/>
    <s v="Bhattarai Momo Center"/>
    <s v="Momo"/>
    <s v="Buff Momo (Steamed)"/>
    <n v="2"/>
    <s v="R-118"/>
    <x v="0"/>
    <m/>
    <s v="Delivered"/>
    <s v=""/>
    <n v="3"/>
    <n v="45"/>
    <s v="quantity was less than expected"/>
    <s v="ORD-1009 | Biratnagar | Buff Momo (Steamed)"/>
    <s v="BIRATNAGAR"/>
    <s v="esewa"/>
    <n v="170"/>
    <n v="340"/>
    <n v="90"/>
    <n v="0"/>
    <n v="430"/>
    <s v="Biratnagar"/>
    <s v="Small"/>
    <s v="Valid"/>
  </r>
  <r>
    <s v="ORD-1034"/>
    <x v="131"/>
    <s v="Sushmita Karki"/>
    <s v="9801-661318"/>
    <d v="2025-08-29T00:00:00"/>
    <s v="New"/>
    <x v="1"/>
    <s v="Yeti Newari Bhoj"/>
    <s v="Newari Khana"/>
    <s v="Yomari"/>
    <n v="1"/>
    <s v="R-104"/>
    <x v="2"/>
    <m/>
    <s v="Delivered"/>
    <s v=""/>
    <n v="5"/>
    <n v="15"/>
    <m/>
    <s v="ORD-1034 | Kathmandu | Yomari"/>
    <s v="KATHMANDU"/>
    <s v="khalti"/>
    <n v="180"/>
    <n v="180"/>
    <n v="50"/>
    <n v="0"/>
    <n v="230"/>
    <s v="Kathmandu"/>
    <s v="Small"/>
    <s v="Valid"/>
  </r>
  <r>
    <s v="ORD-1072"/>
    <x v="53"/>
    <s v="Deepak Chhetri"/>
    <s v="9818-746331"/>
    <d v="2025-09-28T00:00:00"/>
    <s v="Returning"/>
    <x v="3"/>
    <s v="Yeti Newari Bhoj"/>
    <s v="Newari Khana"/>
    <s v="Bara"/>
    <n v="1"/>
    <s v="R-120"/>
    <x v="2"/>
    <s v="DASHAIN10"/>
    <s v="Delivered"/>
    <s v=""/>
    <n v="4"/>
    <n v="44"/>
    <s v="quality was great as always"/>
    <s v="ORD-1072 | Butwal | Bara"/>
    <s v="BUTWAL"/>
    <s v="khalti"/>
    <n v="160"/>
    <n v="160"/>
    <n v="85"/>
    <n v="16"/>
    <n v="229"/>
    <s v="Butwal"/>
    <s v="Small"/>
    <s v="Expired Code Used"/>
  </r>
  <r>
    <s v="ORD-1122"/>
    <x v="93"/>
    <s v="Rajan Basnet"/>
    <s v="9823-468535"/>
    <d v="2025-10-26T00:00:00"/>
    <s v="New"/>
    <x v="3"/>
    <s v="Bhatti Sekuwa Corner"/>
    <s v="Sekuwa"/>
    <s v="Buff Sekuwa"/>
    <n v="1"/>
    <s v="R-120"/>
    <x v="0"/>
    <s v="TIHAR15"/>
    <s v="Delivered"/>
    <s v=""/>
    <n v="3"/>
    <n v="61"/>
    <m/>
    <s v="ORD-1122 | Butwal | Buff Sekuwa"/>
    <s v="BUTWAL"/>
    <s v="esewa"/>
    <n v="380"/>
    <n v="380"/>
    <n v="85"/>
    <n v="57"/>
    <n v="408"/>
    <s v="Butwal"/>
    <s v="Small"/>
    <s v="Valid"/>
  </r>
  <r>
    <s v="ORD-1182"/>
    <x v="22"/>
    <s v="Ramesh Shrestha"/>
    <s v="9800-251678"/>
    <d v="2025-08-11T00:00:00"/>
    <s v="Returning"/>
    <x v="7"/>
    <s v="Kathmandu Momo House"/>
    <s v="Momo"/>
    <s v="Chicken Momo (Fried)"/>
    <n v="2"/>
    <s v="R-125"/>
    <x v="2"/>
    <s v="TIHAR15"/>
    <m/>
    <s v=" NEED REVIEW"/>
    <n v="4"/>
    <n v="44"/>
    <m/>
    <s v="ORD-1182 | Dharan | Chicken Momo (Fried)"/>
    <s v="DHARAN"/>
    <s v="khalti"/>
    <n v="210"/>
    <n v="420"/>
    <n v="95"/>
    <n v="63"/>
    <n v="452"/>
    <s v="Dharan"/>
    <s v="Small"/>
    <s v="Valid"/>
  </r>
  <r>
    <s v="ORD-1033"/>
    <x v="131"/>
    <s v="Ramesh Shrestha"/>
    <s v="9800-251678"/>
    <d v="2025-08-11T00:00:00"/>
    <s v="Returning"/>
    <x v="6"/>
    <s v="Sweet Home Bakery"/>
    <s v="Bakery"/>
    <s v="Barfi (5 pcs)"/>
    <n v="3"/>
    <s v="R-113"/>
    <x v="0"/>
    <m/>
    <s v="Delivered"/>
    <s v=""/>
    <n v="5"/>
    <n v="43"/>
    <m/>
    <s v="ORD-1033 | Pokhara | Barfi (5 pcs)"/>
    <s v="POKHARA"/>
    <s v="esewa"/>
    <n v="220"/>
    <n v="660"/>
    <n v="70"/>
    <n v="0"/>
    <n v="730"/>
    <s v="Pokhara"/>
    <s v="Medium"/>
    <s v="Valid"/>
  </r>
  <r>
    <s v="ORD-1064"/>
    <x v="139"/>
    <s v="Milan Poudel"/>
    <s v="9820-109832"/>
    <d v="2025-09-21T00:00:00"/>
    <s v="New"/>
    <x v="1"/>
    <s v="Fast Bites"/>
    <s v="Fast Food"/>
    <s v="Margherita Pizza"/>
    <n v="4"/>
    <s v="R-106"/>
    <x v="0"/>
    <s v="DASHAIN10"/>
    <s v="Delivered"/>
    <s v=""/>
    <n v="5"/>
    <n v="33"/>
    <m/>
    <s v="ORD-1064 | Kathmandu | Margherita Pizza"/>
    <s v="KATHMANDU"/>
    <s v="esewa"/>
    <n v="550"/>
    <n v="2200"/>
    <n v="50"/>
    <n v="220"/>
    <n v="2030"/>
    <s v="Kathmandu"/>
    <s v="Large"/>
    <s v="Valid"/>
  </r>
  <r>
    <s v="ORD-1113"/>
    <x v="62"/>
    <s v="Sita Maharjan"/>
    <s v="9880-021581"/>
    <d v="2025-09-16T00:00:00"/>
    <s v="Returning"/>
    <x v="4"/>
    <s v="Quick Snacks Corner"/>
    <s v="Fast Food"/>
    <s v="Chicken Chowmein  "/>
    <n v="3"/>
    <s v="R-111"/>
    <x v="4"/>
    <m/>
    <s v="Delivered"/>
    <s v=""/>
    <n v="5"/>
    <n v="27"/>
    <s v="quality was great as always"/>
    <s v="ORD-1113 | Bhaktapur | Chicken Chowmein  "/>
    <s v="BHAKTAPUR"/>
    <s v="connectips"/>
    <n v="250"/>
    <n v="750"/>
    <n v="55"/>
    <n v="0"/>
    <n v="805"/>
    <s v="Bhaktapur"/>
    <s v="Medium"/>
    <s v="Valid"/>
  </r>
  <r>
    <s v="ORD-1161"/>
    <x v="88"/>
    <s v="Sujan Dahal"/>
    <s v="9809-378657"/>
    <d v="2025-09-18T00:00:00"/>
    <s v="Returning"/>
    <x v="0"/>
    <s v="Sekuwa Point"/>
    <s v="Sekuwa"/>
    <s v="Buff Sekuwa"/>
    <n v="1"/>
    <s v="R-118"/>
    <x v="2"/>
    <m/>
    <s v="Delivered"/>
    <s v=""/>
    <n v="5"/>
    <n v="44"/>
    <s v="good food, will order again"/>
    <s v="ORD-1161 | Biratnagar | Buff Sekuwa"/>
    <s v="BIRATNAGAR"/>
    <s v="khalti"/>
    <n v="380"/>
    <n v="380"/>
    <n v="90"/>
    <n v="0"/>
    <n v="470"/>
    <s v="Biratnagar"/>
    <s v="Small"/>
    <s v="Valid"/>
  </r>
  <r>
    <s v="ORD-1312"/>
    <x v="12"/>
    <s v="Sagar Poudel"/>
    <s v="9896-937293"/>
    <d v="2025-08-22T00:00:00"/>
    <s v="Returning"/>
    <x v="5"/>
    <s v="Quick Snacks Corner"/>
    <s v="Fast Food"/>
    <s v="Veg Fried Rice  "/>
    <n v="1"/>
    <s v="R-107"/>
    <x v="1"/>
    <s v="MONSOON30"/>
    <s v="Cancelled"/>
    <s v=""/>
    <m/>
    <n v="40"/>
    <s v="okay experience"/>
    <s v="ORD-1312 | Lalitpur | Veg Fried Rice  "/>
    <s v="LALITPUR"/>
    <s v="cash on delivery"/>
    <n v="220"/>
    <n v="220"/>
    <n v="50"/>
    <n v="30"/>
    <n v="240"/>
    <s v="Lalitpur"/>
    <s v="Small"/>
    <s v="Expired Code Used"/>
  </r>
  <r>
    <s v="ORD-1219"/>
    <x v="105"/>
    <s v="Nisha Chhetri"/>
    <s v="9871-834170"/>
    <d v="2025-11-03T00:00:00"/>
    <s v="Returning"/>
    <x v="2"/>
    <s v="Quick Snacks Corner"/>
    <s v="Fast Food"/>
    <s v="Veg Burger"/>
    <n v="1"/>
    <s v="R-123"/>
    <x v="0"/>
    <m/>
    <s v="Cancelled"/>
    <s v=""/>
    <m/>
    <n v="53"/>
    <m/>
    <s v="ORD-1219 | Chitwan | Veg Burger"/>
    <s v="CHITWAN"/>
    <s v="esewa"/>
    <n v="220"/>
    <n v="220"/>
    <n v="80"/>
    <n v="0"/>
    <n v="300"/>
    <s v="Chitwan"/>
    <s v="Small"/>
    <s v="Valid"/>
  </r>
  <r>
    <s v="ORD-1251"/>
    <x v="17"/>
    <s v="Sagar Khadka"/>
    <s v="9832-870465"/>
    <d v="2025-03-06T00:00:00"/>
    <s v="Returning"/>
    <x v="1"/>
    <s v="Bhattarai Momo Center"/>
    <s v="Momo"/>
    <s v="Jhol Momo  "/>
    <n v="1"/>
    <s v="R-104"/>
    <x v="1"/>
    <m/>
    <s v="Cancelled"/>
    <s v=""/>
    <m/>
    <n v="26"/>
    <s v="average, nothing special"/>
    <s v="ORD-1251 | Kathmandu | Jhol Momo  "/>
    <s v="KATHMANDU"/>
    <s v="cash on delivery"/>
    <n v="200"/>
    <n v="200"/>
    <n v="50"/>
    <n v="0"/>
    <n v="250"/>
    <s v="Kathmandu"/>
    <s v="Small"/>
    <s v="Valid"/>
  </r>
  <r>
    <s v="ORD-1231"/>
    <x v="56"/>
    <s v="Prakash Gurung"/>
    <s v="9809-541858"/>
    <d v="2025-08-02T00:00:00"/>
    <s v="Returning"/>
    <x v="0"/>
    <s v="Fast Bites"/>
    <s v="Fast Food"/>
    <s v="Veg Fried Rice"/>
    <n v="3"/>
    <s v="R-118"/>
    <x v="2"/>
    <s v="WELCOME50"/>
    <s v="Delivered"/>
    <s v=""/>
    <n v="4"/>
    <n v="44"/>
    <m/>
    <s v="ORD-1231 | Biratnagar | Veg Fried Rice"/>
    <s v="BIRATNAGAR"/>
    <s v="khalti"/>
    <n v="220"/>
    <n v="660"/>
    <n v="90"/>
    <n v="50"/>
    <n v="700"/>
    <s v="Biratnagar"/>
    <s v="Medium"/>
    <s v="Valid"/>
  </r>
  <r>
    <s v="ORD-1119"/>
    <x v="8"/>
    <s v="Sujan Acharya"/>
    <s v="9825-449920"/>
    <d v="2025-09-27T00:00:00"/>
    <s v="Returning"/>
    <x v="0"/>
    <s v="Quick Snacks Corner"/>
    <s v="Fast Food"/>
    <s v="Chicken Burger"/>
    <n v="2"/>
    <s v="R-117"/>
    <x v="0"/>
    <s v="DASHAIN10"/>
    <s v="Delivered"/>
    <s v=""/>
    <n v="4"/>
    <n v="38"/>
    <s v="Fast delivery today"/>
    <s v="ORD-1119 | Biratnagar | Chicken Burger"/>
    <s v="BIRATNAGAR"/>
    <s v="esewa"/>
    <n v="280"/>
    <n v="560"/>
    <n v="90"/>
    <n v="56"/>
    <n v="594"/>
    <s v="Biratnagar"/>
    <s v="Medium"/>
    <s v="Valid"/>
  </r>
  <r>
    <s v="ORD-1236"/>
    <x v="140"/>
    <s v="Kiran Limbu"/>
    <s v="9890-604431"/>
    <d v="2025-12-16T00:00:00"/>
    <s v="New"/>
    <x v="0"/>
    <s v="Golden Dragon Kitchen"/>
    <s v="Chinese"/>
    <s v="Veg Chopsuey"/>
    <n v="4"/>
    <s v="R-118"/>
    <x v="3"/>
    <s v="WELCOME50"/>
    <s v="Delivered"/>
    <s v=""/>
    <n v="5"/>
    <n v="39"/>
    <m/>
    <s v="ORD-1236 | Biratnagar | Veg Chopsuey"/>
    <s v="BIRATNAGAR"/>
    <s v="ime pay"/>
    <n v="260"/>
    <n v="1040"/>
    <n v="90"/>
    <n v="50"/>
    <n v="1080"/>
    <s v="Biratnagar"/>
    <s v="Large"/>
    <s v="Valid"/>
  </r>
  <r>
    <s v="ORD-1304"/>
    <x v="141"/>
    <s v="Ashok Shrestha"/>
    <s v="9837-215901"/>
    <d v="2025-10-17T00:00:00"/>
    <s v="Returning"/>
    <x v="6"/>
    <s v="Chiya Adda"/>
    <s v="Beverages"/>
    <s v="LEMON SODA"/>
    <n v="1"/>
    <s v="R-112"/>
    <x v="1"/>
    <m/>
    <s v="Delivered"/>
    <s v=""/>
    <n v="4"/>
    <n v="44"/>
    <s v="Fast delivery today"/>
    <s v="ORD-1304 | Pokhara | Lemon Soda"/>
    <s v="POKHARA"/>
    <s v="cash on delivery"/>
    <n v="100"/>
    <n v="100"/>
    <n v="70"/>
    <n v="0"/>
    <n v="170"/>
    <s v="Pokhara"/>
    <s v="Small"/>
    <s v="Valid"/>
  </r>
  <r>
    <s v="ORD-1138"/>
    <x v="31"/>
    <s v="Bandana Khadka"/>
    <s v="9874-911862"/>
    <d v="2025-10-25T00:00:00"/>
    <s v="Returning"/>
    <x v="5"/>
    <s v="Himalayan Bakers"/>
    <s v="Bakery"/>
    <s v="Chocolate Pastry"/>
    <n v="3"/>
    <s v="R-107"/>
    <x v="3"/>
    <s v="TIHAR15"/>
    <s v="Delivered"/>
    <s v=""/>
    <m/>
    <n v="26"/>
    <m/>
    <s v="ORD-1138 | Lalitpur | Chocolate Pastry"/>
    <s v="LALITPUR"/>
    <s v="ime pay"/>
    <n v="150"/>
    <n v="450"/>
    <n v="50"/>
    <n v="67.5"/>
    <n v="432.5"/>
    <s v="Lalitpur"/>
    <s v="Small"/>
    <s v="Valid"/>
  </r>
  <r>
    <s v="ORD-1029"/>
    <x v="142"/>
    <s v="Sujan Acharya"/>
    <s v="9855-459045"/>
    <d v="2025-02-13T00:00:00"/>
    <s v="Returning"/>
    <x v="5"/>
    <s v="Yeti Newari Bhoj"/>
    <s v="Newari Khana"/>
    <s v="Choila (Buff)"/>
    <n v="1"/>
    <s v="R-108"/>
    <x v="2"/>
    <m/>
    <s v="Delivered"/>
    <s v=""/>
    <n v="3"/>
    <n v="21"/>
    <m/>
    <s v="ORD-1029 | Lalitpur | Choila (Buff)"/>
    <s v="LALITPUR"/>
    <s v="khalti"/>
    <n v="320"/>
    <n v="320"/>
    <n v="50"/>
    <n v="0"/>
    <n v="370"/>
    <s v="Lalitpur"/>
    <s v="Small"/>
    <s v="Valid"/>
  </r>
  <r>
    <s v="ORD-1272"/>
    <x v="48"/>
    <s v="Suresh Bista"/>
    <s v="9837-504310"/>
    <d v="2025-08-09T00:00:00"/>
    <s v="Returning"/>
    <x v="1"/>
    <s v="Thakali Ghar"/>
    <s v="Thakali Set"/>
    <s v="Mutton Thakali Set"/>
    <n v="3"/>
    <s v="R-102"/>
    <x v="0"/>
    <s v="WELCOME50"/>
    <s v="Delivered"/>
    <s v=""/>
    <n v="4"/>
    <n v="32"/>
    <m/>
    <s v="ORD-1272 | Kathmandu | Mutton Thakali Set"/>
    <s v="KATHMANDU"/>
    <s v="esewa"/>
    <n v="650"/>
    <n v="1950"/>
    <n v="50"/>
    <n v="50"/>
    <n v="1950"/>
    <s v="Kathmandu"/>
    <s v="Large"/>
    <s v="Valid"/>
  </r>
  <r>
    <s v="ORD-1241"/>
    <x v="143"/>
    <s v="Sita Maharjan"/>
    <s v="9880-021581"/>
    <d v="2025-09-16T00:00:00"/>
    <s v="Returning"/>
    <x v="1"/>
    <s v="Cafe Cup"/>
    <s v="Beverages"/>
    <s v="MANGO JUICE"/>
    <n v="3"/>
    <s v="R-105"/>
    <x v="0"/>
    <m/>
    <s v="Delivered"/>
    <s v=""/>
    <n v="5"/>
    <n v="32"/>
    <s v="quality was great as always"/>
    <s v="ORD-1241 | Kathmandu | Mango Juice"/>
    <s v="KATHMANDU"/>
    <s v="esewa"/>
    <n v="120"/>
    <n v="360"/>
    <n v="50"/>
    <n v="0"/>
    <n v="410"/>
    <s v="Kathmandu"/>
    <s v="Small"/>
    <s v="Valid"/>
  </r>
  <r>
    <s v="ORD-1269"/>
    <x v="43"/>
    <s v="Nirmala Dahal"/>
    <s v="9814-865465"/>
    <d v="2025-10-18T00:00:00"/>
    <s v="Returning"/>
    <x v="6"/>
    <s v="Thakali Ghar"/>
    <s v="Thakali Set"/>
    <s v="Mutton Thakali Set"/>
    <n v="3"/>
    <s v="R-112"/>
    <x v="0"/>
    <m/>
    <s v="Delivered"/>
    <s v=""/>
    <n v="5"/>
    <n v="50"/>
    <s v="Fast delivery today"/>
    <s v="ORD-1269 | Pokhara | Mutton Thakali Set"/>
    <s v="POKHARA"/>
    <s v="esewa"/>
    <n v="650"/>
    <n v="1950"/>
    <n v="70"/>
    <n v="0"/>
    <n v="2020"/>
    <s v="Pokhara"/>
    <s v="Large"/>
    <s v="Valid"/>
  </r>
  <r>
    <s v="ORD-1249"/>
    <x v="106"/>
    <s v="Anita Limbu"/>
    <s v="9824-180578"/>
    <d v="2025-10-17T00:00:00"/>
    <s v="Returning"/>
    <x v="0"/>
    <s v="Himalayan Bakers"/>
    <s v="Bakery"/>
    <s v="LADDU (5 PCS)"/>
    <n v="1"/>
    <s v="R-116"/>
    <x v="3"/>
    <m/>
    <s v="Delivered"/>
    <s v=""/>
    <n v="4"/>
    <n v="40"/>
    <m/>
    <s v="ORD-1249 | Biratnagar | LADDU (5 PCS)"/>
    <s v="BIRATNAGAR"/>
    <s v="ime pay"/>
    <n v="180"/>
    <n v="180"/>
    <n v="90"/>
    <n v="0"/>
    <n v="270"/>
    <s v="Biratnagar"/>
    <s v="Small"/>
    <s v="Valid"/>
  </r>
  <r>
    <s v="ORD-1292"/>
    <x v="79"/>
    <s v="Rajan Shakya"/>
    <s v="9826-199582"/>
    <d v="2025-09-04T00:00:00"/>
    <s v="Returning"/>
    <x v="1"/>
    <s v="Newa Kitchen"/>
    <s v="Newari Khana"/>
    <s v="Chatamari"/>
    <n v="1"/>
    <s v="R-106"/>
    <x v="0"/>
    <m/>
    <s v="Delivered"/>
    <s v=""/>
    <m/>
    <n v="26"/>
    <m/>
    <s v="ORD-1292 | Kathmandu | Chatamari"/>
    <s v="KATHMANDU"/>
    <s v="esewa"/>
    <n v="210"/>
    <n v="210"/>
    <n v="50"/>
    <n v="0"/>
    <n v="260"/>
    <s v="Kathmandu"/>
    <s v="Small"/>
    <s v="Valid"/>
  </r>
  <r>
    <s v="ORD-1081"/>
    <x v="99"/>
    <s v="Sarita Karki"/>
    <s v="9889-869284"/>
    <d v="2025-10-10T00:00:00"/>
    <s v="New"/>
    <x v="5"/>
    <s v="Newa Kitchen"/>
    <s v="Newari Khana"/>
    <s v="Bara  "/>
    <n v="4"/>
    <s v="R-108"/>
    <x v="2"/>
    <s v="DASHAIN10"/>
    <s v="Delivered"/>
    <s v=""/>
    <n v="4"/>
    <n v="33"/>
    <s v="packaging was nice"/>
    <s v="ORD-1081 | Lalitpur | Bara  "/>
    <s v="LALITPUR"/>
    <s v="khalti"/>
    <n v="160"/>
    <n v="640"/>
    <n v="50"/>
    <n v="64"/>
    <n v="626"/>
    <s v="Lalitpur"/>
    <s v="Medium"/>
    <s v="Valid"/>
  </r>
  <r>
    <s v="ORD-1262"/>
    <x v="41"/>
    <s v="Deepak Basnet"/>
    <s v="9849-454437"/>
    <d v="2025-10-22T00:00:00"/>
    <s v="New"/>
    <x v="6"/>
    <s v="Newa Kitchen"/>
    <s v="Newari Khana"/>
    <s v="Choila (Buff)"/>
    <n v="4"/>
    <s v="R-114"/>
    <x v="2"/>
    <m/>
    <s v="Delivered"/>
    <s v=""/>
    <n v="5"/>
    <n v="54"/>
    <m/>
    <s v="ORD-1262 | Pokhara | Choila (Buff)"/>
    <s v="POKHARA"/>
    <s v="khalti"/>
    <n v="320"/>
    <n v="1280"/>
    <n v="70"/>
    <n v="0"/>
    <n v="1350"/>
    <s v="Pokhara"/>
    <s v="Large"/>
    <s v="Valid"/>
  </r>
  <r>
    <s v="ORD-1323"/>
    <x v="144"/>
    <s v="Suresh Shrestha"/>
    <s v="9868-773132"/>
    <d v="2025-08-04T00:00:00"/>
    <s v="Returning"/>
    <x v="0"/>
    <s v="Newa Kitchen"/>
    <s v="Newari Khana"/>
    <s v="YOMARI"/>
    <n v="1"/>
    <s v="R-118"/>
    <x v="2"/>
    <m/>
    <s v="Delivered"/>
    <s v=""/>
    <n v="4"/>
    <n v="9"/>
    <m/>
    <s v="ORD-1323 | Biratnagar | YOMARI"/>
    <s v="BIRATNAGAR"/>
    <s v="khalti"/>
    <n v="180"/>
    <n v="180"/>
    <n v="90"/>
    <n v="0"/>
    <n v="270"/>
    <s v="Biratnagar"/>
    <s v="Small"/>
    <s v="Valid"/>
  </r>
  <r>
    <s v="ORD-1237"/>
    <x v="91"/>
    <s v="Nisha Shakya"/>
    <s v="9866-661760"/>
    <d v="2025-09-17T00:00:00"/>
    <s v="Returning"/>
    <x v="5"/>
    <s v="Kathmandu Momo House"/>
    <s v="Momo"/>
    <s v="Chicken Momo (Fried)"/>
    <n v="2"/>
    <s v="R-108"/>
    <x v="0"/>
    <m/>
    <s v="Delivered"/>
    <s v=""/>
    <n v="5"/>
    <n v="32"/>
    <m/>
    <s v="ORD-1237 | Lalitpur | Chicken Momo (Fried)"/>
    <s v="LALITPUR"/>
    <s v="esewa"/>
    <n v="210"/>
    <n v="420"/>
    <n v="50"/>
    <n v="0"/>
    <n v="470"/>
    <s v="Lalitpur"/>
    <s v="Small"/>
    <s v="Valid"/>
  </r>
  <r>
    <s v="ORD-1051"/>
    <x v="55"/>
    <s v="Pradeep Tamang"/>
    <s v="9833-249351"/>
    <d v="2025-09-09T00:00:00"/>
    <s v="New"/>
    <x v="5"/>
    <s v="Momo Hut"/>
    <s v="Momo"/>
    <s v="Chicken Momo (Fried)"/>
    <n v="3"/>
    <s v="R-107"/>
    <x v="4"/>
    <m/>
    <s v="Delivered"/>
    <s v=""/>
    <n v="4"/>
    <n v="43"/>
    <s v="Fast delivery today"/>
    <s v="ORD-1051 | Lalitpur | Chicken Momo (Fried)"/>
    <s v="LALITPUR"/>
    <s v="connectips"/>
    <n v="210"/>
    <n v="630"/>
    <n v="50"/>
    <n v="0"/>
    <n v="680"/>
    <s v="Lalitpur"/>
    <s v="Medium"/>
    <s v="Valid"/>
  </r>
  <r>
    <s v="ORD-1275"/>
    <x v="14"/>
    <s v="Manisha Bista"/>
    <s v="9886-843353"/>
    <d v="2025-08-12T00:00:00"/>
    <s v="Returning"/>
    <x v="6"/>
    <s v="Quick Snacks Corner"/>
    <s v="Fast Food"/>
    <s v="French Fries"/>
    <n v="1"/>
    <s v="R-113"/>
    <x v="2"/>
    <m/>
    <s v="Delivered"/>
    <s v=""/>
    <n v="5"/>
    <n v="37"/>
    <m/>
    <s v="ORD-1275 | Pokhara | French Fries"/>
    <s v="POKHARA"/>
    <s v="khalti"/>
    <n v="160"/>
    <n v="160"/>
    <n v="70"/>
    <n v="0"/>
    <n v="230"/>
    <s v="Pokhara"/>
    <s v="Small"/>
    <s v="Valid"/>
  </r>
  <r>
    <s v="ORD-1230"/>
    <x v="56"/>
    <s v="Nabin Bhattarai"/>
    <s v="9805-877065"/>
    <d v="2025-10-26T00:00:00"/>
    <s v="Returning"/>
    <x v="1"/>
    <s v="Chiya Adda"/>
    <s v="Beverages"/>
    <s v="Milk Tea  "/>
    <n v="1"/>
    <s v="R-106"/>
    <x v="1"/>
    <s v="FIRSTORDER"/>
    <s v="Delivered"/>
    <s v=""/>
    <n v="4"/>
    <n v="23"/>
    <m/>
    <s v="ORD-1230 | Kathmandu | Milk Tea  "/>
    <s v="KATHMANDU"/>
    <s v="cash on delivery"/>
    <n v="60"/>
    <n v="60"/>
    <n v="50"/>
    <n v="100"/>
    <n v="10"/>
    <s v="Kathmandu"/>
    <s v="Small"/>
    <s v="Expired Code Used"/>
  </r>
  <r>
    <s v="ORD-1134"/>
    <x v="44"/>
    <s v="Manisha Rai"/>
    <s v="9814-913167"/>
    <d v="2025-08-26T00:00:00"/>
    <s v="Returning"/>
    <x v="6"/>
    <s v="Cafe Cup"/>
    <s v="Beverages"/>
    <s v="  Black Coffee"/>
    <n v="1"/>
    <s v="R-115"/>
    <x v="0"/>
    <s v="TIHAR15"/>
    <s v="Delivered"/>
    <s v=""/>
    <n v="4"/>
    <n v="47"/>
    <s v="Fast delivery today"/>
    <s v="ORD-1134 | Pokhara |   Black Coffee"/>
    <s v="POKHARA"/>
    <s v="esewa"/>
    <n v="90"/>
    <n v="90"/>
    <n v="70"/>
    <n v="13.5"/>
    <n v="146.5"/>
    <s v="Pokhara"/>
    <s v="Small"/>
    <s v="Valid"/>
  </r>
  <r>
    <s v="ORD-1170"/>
    <x v="35"/>
    <s v="Sita Bhattarai"/>
    <s v="9851-313735"/>
    <d v="2025-08-04T00:00:00"/>
    <s v="Returning"/>
    <x v="1"/>
    <s v="Kathmandu Momo House"/>
    <s v="Momo"/>
    <s v="Chilli Momo"/>
    <n v="1"/>
    <s v="R-106"/>
    <x v="1"/>
    <m/>
    <s v="Delivered"/>
    <s v=""/>
    <n v="4"/>
    <n v="29"/>
    <m/>
    <s v="ORD-1170 | Kathmandu | Chilli Momo"/>
    <s v="KATHMANDU"/>
    <s v="cash on delivery"/>
    <n v="220"/>
    <n v="220"/>
    <n v="50"/>
    <n v="0"/>
    <n v="270"/>
    <s v="Kathmandu"/>
    <s v="Small"/>
    <s v="Valid"/>
  </r>
  <r>
    <s v="ORD-1185"/>
    <x v="13"/>
    <s v="Sunita Tamang"/>
    <s v="9894-130787"/>
    <d v="2025-09-22T00:00:00"/>
    <s v="Returning"/>
    <x v="5"/>
    <s v="Momo Hut"/>
    <s v="Momo"/>
    <s v="Jhol Momo"/>
    <n v="1"/>
    <s v="R-108"/>
    <x v="3"/>
    <s v="WELCOME50"/>
    <s v="Delivered"/>
    <s v=""/>
    <n v="4"/>
    <n v="37"/>
    <m/>
    <s v="ORD-1185 | Lalitpur | Jhol Momo"/>
    <s v="LALITPUR"/>
    <s v="ime pay"/>
    <n v="200"/>
    <n v="200"/>
    <n v="50"/>
    <n v="50"/>
    <n v="200"/>
    <s v="Lalitpur"/>
    <s v="Small"/>
    <s v="Valid"/>
  </r>
  <r>
    <s v="ORD-1205"/>
    <x v="145"/>
    <s v="Suresh Thapa"/>
    <s v="9888-387371"/>
    <d v="2025-09-26T00:00:00"/>
    <s v="Returning"/>
    <x v="5"/>
    <s v="Cafe Cup"/>
    <s v="Beverages"/>
    <s v="Black Coffee"/>
    <n v="2"/>
    <s v="R-107"/>
    <x v="1"/>
    <m/>
    <s v="Delivered"/>
    <s v=""/>
    <n v="4"/>
    <n v="32"/>
    <m/>
    <s v="ORD-1205 | Lalitpur | Black Coffee"/>
    <s v="LALITPUR"/>
    <s v="cash on delivery"/>
    <n v="90"/>
    <n v="180"/>
    <n v="50"/>
    <n v="0"/>
    <n v="230"/>
    <s v="Lalitpur"/>
    <s v="Small"/>
    <s v="Valid"/>
  </r>
  <r>
    <s v="ORD-1149"/>
    <x v="69"/>
    <s v="Sagar Magar"/>
    <s v="9803-271124"/>
    <d v="2025-10-30T00:00:00"/>
    <s v="New"/>
    <x v="5"/>
    <s v="Momo Hut"/>
    <s v="Momo"/>
    <s v="  Buff Momo (Steamed)"/>
    <n v="1"/>
    <s v="R-109"/>
    <x v="0"/>
    <s v="TIHAR15"/>
    <s v="Delivered"/>
    <s v=""/>
    <m/>
    <n v="4"/>
    <m/>
    <s v="ORD-1149 | Lalitpur |   Buff Momo (Steamed)"/>
    <s v="LALITPUR"/>
    <s v="esewa"/>
    <n v="170"/>
    <n v="170"/>
    <n v="50"/>
    <n v="25.5"/>
    <n v="194.5"/>
    <s v="Lalitpur"/>
    <s v="Small"/>
    <s v="Valid"/>
  </r>
  <r>
    <s v="ORD-1085"/>
    <x v="101"/>
    <s v="Kiran Lama"/>
    <s v="9800-267511"/>
    <d v="2025-10-17T00:00:00"/>
    <s v="New"/>
    <x v="1"/>
    <s v="Sweet Home Bakery"/>
    <s v="Bakery"/>
    <s v="Cheese Cake Slice"/>
    <n v="2"/>
    <s v="R-103"/>
    <x v="2"/>
    <s v="DASHAIN10"/>
    <s v="Delivered"/>
    <s v=""/>
    <m/>
    <n v="20"/>
    <m/>
    <s v="ORD-1085 | Kathmandu | cheese cake slice"/>
    <s v="KATHMANDU"/>
    <s v="khalti"/>
    <n v="250"/>
    <n v="500"/>
    <n v="50"/>
    <n v="50"/>
    <n v="500"/>
    <s v="Kathmandu"/>
    <s v="Medium"/>
    <s v="Valid"/>
  </r>
  <r>
    <s v="ORD-1239"/>
    <x v="121"/>
    <s v="Nirmala Acharya"/>
    <s v="9848-113114"/>
    <d v="2025-10-27T00:00:00"/>
    <s v="Returning"/>
    <x v="1"/>
    <s v="Chiya Adda"/>
    <s v="Beverages"/>
    <s v="LEMON SODA"/>
    <n v="3"/>
    <s v="R-105"/>
    <x v="1"/>
    <m/>
    <s v="Cancelled"/>
    <s v=""/>
    <m/>
    <n v="23"/>
    <s v="fine I guess"/>
    <s v="ORD-1239 | Kathmandu | Lemon Soda"/>
    <s v="KATHMANDU"/>
    <s v="cash on delivery"/>
    <n v="100"/>
    <n v="300"/>
    <n v="50"/>
    <n v="0"/>
    <n v="350"/>
    <s v="Kathmandu"/>
    <s v="Small"/>
    <s v="Valid"/>
  </r>
  <r>
    <s v="ORD-1305"/>
    <x v="0"/>
    <s v="Sita Maharjan"/>
    <s v="9880-021581"/>
    <d v="2025-09-16T00:00:00"/>
    <s v="Returning"/>
    <x v="7"/>
    <s v="Sekuwa Point"/>
    <s v="Sekuwa"/>
    <s v="Buff Sekuwa"/>
    <n v="4"/>
    <s v="R-125"/>
    <x v="1"/>
    <m/>
    <s v="Returned"/>
    <s v=""/>
    <m/>
    <n v="46"/>
    <m/>
    <s v="ORD-1305 | Dharan | Buff Sekuwa"/>
    <s v="DHARAN"/>
    <s v="cash on delivery"/>
    <n v="380"/>
    <n v="1520"/>
    <n v="95"/>
    <n v="0"/>
    <n v="1615"/>
    <s v="Dharan"/>
    <s v="Large"/>
    <s v="Valid"/>
  </r>
  <r>
    <s v="ORD-1123"/>
    <x v="93"/>
    <s v="Sagar Khadka"/>
    <s v="9832-870465"/>
    <d v="2025-03-06T00:00:00"/>
    <s v="Returning"/>
    <x v="1"/>
    <s v="Quick Snacks Corner"/>
    <s v="Fast Food"/>
    <s v="Veg Fried Rice"/>
    <n v="3"/>
    <s v="R-101"/>
    <x v="1"/>
    <s v="TIHAR15"/>
    <s v="Delivered"/>
    <s v=""/>
    <m/>
    <n v="28"/>
    <m/>
    <s v="ORD-1123 | Kathmandu | Veg Fried Rice"/>
    <s v="KATHMANDU"/>
    <s v="cash on delivery"/>
    <n v="220"/>
    <n v="660"/>
    <n v="50"/>
    <n v="99"/>
    <n v="611"/>
    <s v="Kathmandu"/>
    <s v="Medium"/>
    <s v="Valid"/>
  </r>
  <r>
    <s v="ORD-1247"/>
    <x v="84"/>
    <s v="Rajan Maharjan"/>
    <s v="9862-019132"/>
    <d v="2025-08-05T00:00:00"/>
    <s v="Returning"/>
    <x v="2"/>
    <s v="Kathmandu Momo House"/>
    <s v="Momo"/>
    <s v="Jhol Momo"/>
    <n v="1"/>
    <s v="R-123"/>
    <x v="2"/>
    <m/>
    <s v="Delivered"/>
    <s v=""/>
    <n v="4"/>
    <n v="19"/>
    <m/>
    <s v="ORD-1247 | Chitwan | Jhol Momo"/>
    <s v="CHITWAN"/>
    <s v="khalti"/>
    <n v="200"/>
    <n v="200"/>
    <n v="80"/>
    <n v="0"/>
    <n v="280"/>
    <s v="Chitwan"/>
    <s v="Small"/>
    <s v="Valid"/>
  </r>
  <r>
    <s v="ORD-1316"/>
    <x v="126"/>
    <s v="Saroj Gurung"/>
    <s v="9824-264628"/>
    <d v="2025-11-02T00:00:00"/>
    <s v="Returning"/>
    <x v="6"/>
    <s v="Bhatti Sekuwa Corner"/>
    <s v="Sekuwa"/>
    <s v="Mutton Sekuwa"/>
    <n v="2"/>
    <s v="R-113"/>
    <x v="1"/>
    <s v="MONSOON30"/>
    <s v="Delivered"/>
    <s v=""/>
    <n v="5"/>
    <n v="33"/>
    <m/>
    <s v="ORD-1316 | Pokhara | Mutton Sekuwa"/>
    <s v="POKHARA"/>
    <s v="cash on delivery"/>
    <n v="600"/>
    <n v="1200"/>
    <n v="70"/>
    <n v="30"/>
    <n v="1240"/>
    <s v="Pokhara"/>
    <s v="Large"/>
    <s v="Expired Code Used"/>
  </r>
  <r>
    <s v="ORD-1234"/>
    <x v="146"/>
    <s v="Rita Adhikari"/>
    <s v="9883-380141"/>
    <d v="2025-09-09T00:00:00"/>
    <s v="Returning"/>
    <x v="2"/>
    <s v="Golden Dragon Kitchen"/>
    <s v="Chinese"/>
    <s v="Veg Chopsuey"/>
    <n v="1"/>
    <s v="R-123"/>
    <x v="3"/>
    <m/>
    <s v="Delivered"/>
    <s v=""/>
    <n v="5"/>
    <n v="53"/>
    <m/>
    <s v="ORD-1234 | Chitwan | Veg Chopsuey"/>
    <s v="CHITWAN"/>
    <s v="ime pay"/>
    <n v="260"/>
    <n v="260"/>
    <n v="80"/>
    <n v="0"/>
    <n v="340"/>
    <s v="Chitwan"/>
    <s v="Small"/>
    <s v="Valid"/>
  </r>
  <r>
    <s v="ORD-1254"/>
    <x v="32"/>
    <s v="Kabita Adhikari"/>
    <s v="9838-831701"/>
    <d v="2025-08-12T00:00:00"/>
    <s v="Returning"/>
    <x v="7"/>
    <s v="Sekuwa Point"/>
    <s v="Sekuwa"/>
    <s v="Chicken Sekuwa"/>
    <n v="1"/>
    <s v="R-124"/>
    <x v="0"/>
    <s v="LOYAL100"/>
    <s v="Delivered"/>
    <s v=""/>
    <n v="2"/>
    <n v="67"/>
    <m/>
    <s v="ORD-1254 | Dharan | Chicken Sekuwa"/>
    <s v="DHARAN"/>
    <s v="esewa"/>
    <n v="420"/>
    <n v="420"/>
    <n v="95"/>
    <n v="100"/>
    <n v="415"/>
    <s v="Dharan"/>
    <s v="Small"/>
    <s v="Valid"/>
  </r>
  <r>
    <s v="ORD-1111"/>
    <x v="62"/>
    <s v="Nisha Shakya"/>
    <s v="9866-661760"/>
    <d v="2025-09-17T00:00:00"/>
    <s v="Returning"/>
    <x v="3"/>
    <s v="Fast Bites"/>
    <s v="Fast Food"/>
    <s v="French Fries"/>
    <n v="1"/>
    <s v="R-120"/>
    <x v="4"/>
    <s v="DASHAIN10"/>
    <s v="Delivered"/>
    <s v=""/>
    <n v="3"/>
    <n v="3"/>
    <m/>
    <s v="ORD-1111 | Butwal | French Fries"/>
    <s v="BUTWAL"/>
    <s v="connectips"/>
    <n v="160"/>
    <n v="160"/>
    <n v="85"/>
    <n v="16"/>
    <n v="229"/>
    <s v="Butwal"/>
    <s v="Small"/>
    <s v="Valid"/>
  </r>
  <r>
    <s v="ORD-1203"/>
    <x v="6"/>
    <s v="Sita Maharjan"/>
    <s v="9880-021581"/>
    <d v="2025-09-16T00:00:00"/>
    <s v="Returning"/>
    <x v="1"/>
    <s v="Bhattarai Momo Center"/>
    <s v="Momo"/>
    <s v="Chicken Momo (Steamed)"/>
    <n v="2"/>
    <s v="R-102"/>
    <x v="2"/>
    <m/>
    <s v="Delivered"/>
    <s v=""/>
    <n v="4"/>
    <n v="28"/>
    <s v="good food, will order again"/>
    <s v="ORD-1203 | Kathmandu | chicken momo (steamed)"/>
    <s v="KATHMANDU"/>
    <s v="khalti"/>
    <n v="190"/>
    <n v="380"/>
    <n v="50"/>
    <n v="0"/>
    <n v="430"/>
    <s v="Kathmandu"/>
    <s v="Small"/>
    <s v="Valid"/>
  </r>
  <r>
    <s v="ORD-1242"/>
    <x v="143"/>
    <s v="Pradeep Limbu"/>
    <s v="9806-071043"/>
    <d v="2025-04-20T00:00:00"/>
    <s v="Returning"/>
    <x v="2"/>
    <s v="Fast Bites"/>
    <s v="Fast Food"/>
    <s v="  Veg Fried Rice"/>
    <n v="3"/>
    <s v="R-121"/>
    <x v="1"/>
    <m/>
    <s v="Cancelled"/>
    <s v=""/>
    <m/>
    <n v="62"/>
    <s v="fine I guess"/>
    <s v="ORD-1242 | Chitwan |   Veg Fried Rice"/>
    <s v="CHITWAN"/>
    <s v="cash on delivery"/>
    <n v="220"/>
    <n v="660"/>
    <n v="80"/>
    <n v="0"/>
    <n v="740"/>
    <s v="Chitwan"/>
    <s v="Medium"/>
    <s v="Valid"/>
  </r>
  <r>
    <s v="ORD-1099"/>
    <x v="49"/>
    <s v="Sushmita Karki"/>
    <s v="9801-661318"/>
    <d v="2025-08-29T00:00:00"/>
    <s v="Returning"/>
    <x v="5"/>
    <s v="Bhatti Sekuwa Corner"/>
    <s v="Sekuwa"/>
    <s v="Chicken Sekuwa"/>
    <n v="1"/>
    <s v="R-107"/>
    <x v="0"/>
    <s v="DASHAIN10"/>
    <s v="Delivered"/>
    <s v=""/>
    <n v="5"/>
    <n v="24"/>
    <s v="Tasty and fresh, loved it"/>
    <s v="ORD-1099 | Lalitpur | Chicken Sekuwa"/>
    <s v="LALITPUR"/>
    <s v="esewa"/>
    <n v="420"/>
    <n v="420"/>
    <n v="50"/>
    <n v="42"/>
    <n v="428"/>
    <s v="Lalitpur"/>
    <s v="Small"/>
    <s v="Valid"/>
  </r>
  <r>
    <s v="ORD-1189"/>
    <x v="147"/>
    <s v="Bandana Basnet"/>
    <s v="9823-159425"/>
    <d v="2025-09-04T00:00:00"/>
    <s v="Returning"/>
    <x v="1"/>
    <s v="Chiya Adda"/>
    <s v="Beverages"/>
    <s v="MANGO JUICE"/>
    <n v="2"/>
    <s v="R-104"/>
    <x v="1"/>
    <m/>
    <s v="Delivered"/>
    <s v=""/>
    <m/>
    <n v="36"/>
    <m/>
    <s v="ORD-1189 | Kathmandu | Mango Juice"/>
    <s v="KATHMANDU"/>
    <s v="cash on delivery"/>
    <n v="120"/>
    <n v="240"/>
    <n v="50"/>
    <n v="0"/>
    <n v="290"/>
    <s v="Kathmandu"/>
    <s v="Small"/>
    <s v="Valid"/>
  </r>
  <r>
    <s v="ORD-1121"/>
    <x v="93"/>
    <s v="Ashok Bista"/>
    <s v="9826-516761"/>
    <d v="2025-07-07T00:00:00"/>
    <s v="Returning"/>
    <x v="4"/>
    <s v="Momo Hut"/>
    <s v="Momo"/>
    <s v="Chicken Momo (Steamed)"/>
    <n v="2"/>
    <s v="R-110"/>
    <x v="1"/>
    <m/>
    <s v="Delivered"/>
    <s v=""/>
    <n v="4"/>
    <n v="26"/>
    <s v="Fast delivery today"/>
    <s v="ORD-1121 | Bhaktapur | Chicken Momo (Steamed)"/>
    <s v="BHAKTAPUR"/>
    <s v="cash on delivery"/>
    <n v="190"/>
    <n v="380"/>
    <n v="55"/>
    <n v="0"/>
    <n v="435"/>
    <s v="Bhaktapur"/>
    <s v="Small"/>
    <s v="Valid"/>
  </r>
  <r>
    <s v="ORD-1049"/>
    <x v="55"/>
    <s v="Sabina Magar"/>
    <s v="9876-018955"/>
    <d v="2025-08-11T00:00:00"/>
    <s v="Returning"/>
    <x v="3"/>
    <s v="Fast Bites"/>
    <s v="Fast Food"/>
    <s v="Chicken Pizza  "/>
    <n v="2"/>
    <s v="R-120"/>
    <x v="2"/>
    <m/>
    <s v="Delivered"/>
    <s v=""/>
    <n v="3"/>
    <n v="44"/>
    <s v="not happy, order took too long"/>
    <s v="ORD-1049 | Butwal | Chicken Pizza  "/>
    <s v="BUTWAL"/>
    <s v="khalti"/>
    <n v="650"/>
    <n v="1300"/>
    <n v="85"/>
    <n v="0"/>
    <n v="1385"/>
    <s v="Butwal"/>
    <s v="Large"/>
    <s v="Valid"/>
  </r>
  <r>
    <s v="ORD-1261"/>
    <x v="54"/>
    <s v="Rajan Adhikari"/>
    <s v="9886-844318"/>
    <d v="2025-11-01T00:00:00"/>
    <s v="Returning"/>
    <x v="1"/>
    <s v="Thakali Ghar"/>
    <s v="Thakali Set"/>
    <s v="Chicken Thakali Set"/>
    <n v="1"/>
    <s v="R-104"/>
    <x v="0"/>
    <m/>
    <s v="Returned"/>
    <s v=""/>
    <m/>
    <n v="19"/>
    <m/>
    <s v="ORD-1261 | Kathmandu | Chicken Thakali Set"/>
    <s v="KATHMANDU"/>
    <s v="esewa"/>
    <n v="480"/>
    <n v="480"/>
    <n v="50"/>
    <n v="0"/>
    <n v="530"/>
    <s v="Kathmandu"/>
    <s v="Medium"/>
    <s v="Valid"/>
  </r>
  <r>
    <s v="ORD-1313"/>
    <x v="3"/>
    <s v="Sagar Tamang"/>
    <s v="9820-297299"/>
    <d v="2025-08-02T00:00:00"/>
    <s v="Returning"/>
    <x v="2"/>
    <s v="Yeti Newari Bhoj"/>
    <s v="Newari Khana"/>
    <s v="Choila (Buff)"/>
    <n v="1"/>
    <s v="R-123"/>
    <x v="1"/>
    <s v="WELCOME50"/>
    <s v="Delivered"/>
    <s v=""/>
    <n v="3"/>
    <n v="56"/>
    <m/>
    <s v="ORD-1313 | Chitwan | Choila (Buff)"/>
    <s v="CHITWAN"/>
    <s v="cash on delivery"/>
    <n v="320"/>
    <n v="320"/>
    <n v="80"/>
    <n v="50"/>
    <n v="350"/>
    <s v="Chitwan"/>
    <s v="Small"/>
    <s v="Valid"/>
  </r>
  <r>
    <s v="ORD-1208"/>
    <x v="148"/>
    <s v="Rohit Limbu"/>
    <s v="9850-201462"/>
    <d v="2025-08-05T00:00:00"/>
    <s v="Returning"/>
    <x v="3"/>
    <s v="Golden Dragon Kitchen"/>
    <s v="Chinese"/>
    <s v="Veg Chopsuey  "/>
    <n v="2"/>
    <s v="R-119"/>
    <x v="0"/>
    <m/>
    <s v="Delivered"/>
    <s v=""/>
    <n v="3"/>
    <n v="52"/>
    <m/>
    <s v="ORD-1208 | Butwal | Veg Chopsuey  "/>
    <s v="BUTWAL"/>
    <s v="esewa"/>
    <n v="260"/>
    <n v="520"/>
    <n v="85"/>
    <n v="0"/>
    <n v="605"/>
    <s v="Butwal"/>
    <s v="Medium"/>
    <s v="Val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7BD7B1-02A9-499F-9FAF-7CDB775208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5:D41" firstHeaderRow="1" firstDataRow="1" firstDataCol="1"/>
  <pivotFields count="32">
    <pivotField dataField="1" showAll="0"/>
    <pivotField showAll="0">
      <items count="150">
        <item x="116"/>
        <item x="97"/>
        <item x="23"/>
        <item x="18"/>
        <item x="111"/>
        <item x="16"/>
        <item x="120"/>
        <item x="100"/>
        <item x="82"/>
        <item x="34"/>
        <item x="90"/>
        <item x="135"/>
        <item x="50"/>
        <item x="85"/>
        <item x="102"/>
        <item x="46"/>
        <item x="4"/>
        <item x="72"/>
        <item x="132"/>
        <item x="142"/>
        <item x="123"/>
        <item x="68"/>
        <item x="131"/>
        <item x="118"/>
        <item x="58"/>
        <item x="60"/>
        <item x="122"/>
        <item x="98"/>
        <item x="11"/>
        <item x="55"/>
        <item x="133"/>
        <item x="9"/>
        <item x="104"/>
        <item x="29"/>
        <item x="73"/>
        <item x="26"/>
        <item x="57"/>
        <item x="52"/>
        <item x="139"/>
        <item x="138"/>
        <item x="129"/>
        <item x="71"/>
        <item x="25"/>
        <item x="36"/>
        <item x="119"/>
        <item x="7"/>
        <item x="81"/>
        <item x="114"/>
        <item x="99"/>
        <item x="130"/>
        <item x="61"/>
        <item x="101"/>
        <item x="95"/>
        <item x="28"/>
        <item x="39"/>
        <item x="49"/>
        <item x="21"/>
        <item x="33"/>
        <item x="62"/>
        <item x="8"/>
        <item x="93"/>
        <item x="44"/>
        <item x="31"/>
        <item x="10"/>
        <item x="69"/>
        <item x="63"/>
        <item x="53"/>
        <item x="88"/>
        <item x="5"/>
        <item x="35"/>
        <item x="27"/>
        <item x="24"/>
        <item x="22"/>
        <item x="13"/>
        <item x="147"/>
        <item x="109"/>
        <item x="96"/>
        <item x="92"/>
        <item x="89"/>
        <item x="87"/>
        <item x="70"/>
        <item x="40"/>
        <item x="6"/>
        <item x="80"/>
        <item x="145"/>
        <item x="125"/>
        <item x="136"/>
        <item x="148"/>
        <item x="74"/>
        <item x="112"/>
        <item x="94"/>
        <item x="115"/>
        <item x="117"/>
        <item x="67"/>
        <item x="105"/>
        <item x="108"/>
        <item x="137"/>
        <item x="42"/>
        <item x="38"/>
        <item x="37"/>
        <item x="56"/>
        <item x="78"/>
        <item x="83"/>
        <item x="146"/>
        <item x="64"/>
        <item x="140"/>
        <item x="91"/>
        <item x="121"/>
        <item x="143"/>
        <item x="59"/>
        <item x="84"/>
        <item x="106"/>
        <item x="17"/>
        <item x="32"/>
        <item x="134"/>
        <item x="113"/>
        <item x="15"/>
        <item x="19"/>
        <item x="54"/>
        <item x="76"/>
        <item x="51"/>
        <item x="43"/>
        <item x="48"/>
        <item x="14"/>
        <item x="1"/>
        <item x="45"/>
        <item x="66"/>
        <item x="110"/>
        <item x="65"/>
        <item x="128"/>
        <item x="107"/>
        <item x="103"/>
        <item x="79"/>
        <item x="75"/>
        <item x="77"/>
        <item x="86"/>
        <item x="47"/>
        <item x="127"/>
        <item x="124"/>
        <item x="141"/>
        <item x="0"/>
        <item x="2"/>
        <item x="12"/>
        <item x="3"/>
        <item x="126"/>
        <item x="20"/>
        <item x="30"/>
        <item x="144"/>
        <item x="41"/>
        <item t="default"/>
      </items>
    </pivotField>
    <pivotField showAll="0"/>
    <pivotField showAll="0"/>
    <pivotField numFmtId="164" showAll="0"/>
    <pivotField showAll="0"/>
    <pivotField showAll="0"/>
    <pivotField showAll="0"/>
    <pivotField showAll="0"/>
    <pivotField showAll="0"/>
    <pivotField numFmtId="1" showAll="0"/>
    <pivotField showAll="0"/>
    <pivotField axis="axisRow" showAll="0">
      <items count="6">
        <item x="1"/>
        <item x="4"/>
        <item x="0"/>
        <item x="3"/>
        <item x="2"/>
        <item t="default"/>
      </items>
    </pivotField>
    <pivotField showAll="0"/>
    <pivotField showAll="0"/>
    <pivotField showAll="0"/>
    <pivotField showAll="0"/>
    <pivotField numFmtId="1"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2"/>
  </rowFields>
  <rowItems count="6">
    <i>
      <x/>
    </i>
    <i>
      <x v="1"/>
    </i>
    <i>
      <x v="2"/>
    </i>
    <i>
      <x v="3"/>
    </i>
    <i>
      <x v="4"/>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24C920-DB78-4A14-ADA9-B15D941BB44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143:E152" firstHeaderRow="0" firstDataRow="1" firstDataCol="1"/>
  <pivotFields count="32">
    <pivotField dataField="1" showAll="0"/>
    <pivotField showAll="0">
      <items count="150">
        <item x="116"/>
        <item x="97"/>
        <item x="23"/>
        <item x="18"/>
        <item x="111"/>
        <item x="16"/>
        <item x="120"/>
        <item x="100"/>
        <item x="82"/>
        <item x="34"/>
        <item x="90"/>
        <item x="135"/>
        <item x="50"/>
        <item x="85"/>
        <item x="102"/>
        <item x="46"/>
        <item x="4"/>
        <item x="72"/>
        <item x="132"/>
        <item x="142"/>
        <item x="123"/>
        <item x="68"/>
        <item x="131"/>
        <item x="118"/>
        <item x="58"/>
        <item x="60"/>
        <item x="122"/>
        <item x="98"/>
        <item x="11"/>
        <item x="55"/>
        <item x="133"/>
        <item x="9"/>
        <item x="104"/>
        <item x="29"/>
        <item x="73"/>
        <item x="26"/>
        <item x="57"/>
        <item x="52"/>
        <item x="139"/>
        <item x="138"/>
        <item x="129"/>
        <item x="71"/>
        <item x="25"/>
        <item x="36"/>
        <item x="119"/>
        <item x="7"/>
        <item x="81"/>
        <item x="114"/>
        <item x="99"/>
        <item x="130"/>
        <item x="61"/>
        <item x="101"/>
        <item x="95"/>
        <item x="28"/>
        <item x="39"/>
        <item x="49"/>
        <item x="21"/>
        <item x="33"/>
        <item x="62"/>
        <item x="8"/>
        <item x="93"/>
        <item x="44"/>
        <item x="31"/>
        <item x="10"/>
        <item x="69"/>
        <item x="63"/>
        <item x="53"/>
        <item x="88"/>
        <item x="5"/>
        <item x="35"/>
        <item x="27"/>
        <item x="24"/>
        <item x="22"/>
        <item x="13"/>
        <item x="147"/>
        <item x="109"/>
        <item x="96"/>
        <item x="92"/>
        <item x="89"/>
        <item x="87"/>
        <item x="70"/>
        <item x="40"/>
        <item x="6"/>
        <item x="80"/>
        <item x="145"/>
        <item x="125"/>
        <item x="136"/>
        <item x="148"/>
        <item x="74"/>
        <item x="112"/>
        <item x="94"/>
        <item x="115"/>
        <item x="117"/>
        <item x="67"/>
        <item x="105"/>
        <item x="108"/>
        <item x="137"/>
        <item x="42"/>
        <item x="38"/>
        <item x="37"/>
        <item x="56"/>
        <item x="78"/>
        <item x="83"/>
        <item x="146"/>
        <item x="64"/>
        <item x="140"/>
        <item x="91"/>
        <item x="121"/>
        <item x="143"/>
        <item x="59"/>
        <item x="84"/>
        <item x="106"/>
        <item x="17"/>
        <item x="32"/>
        <item x="134"/>
        <item x="113"/>
        <item x="15"/>
        <item x="19"/>
        <item x="54"/>
        <item x="76"/>
        <item x="51"/>
        <item x="43"/>
        <item x="48"/>
        <item x="14"/>
        <item x="1"/>
        <item x="45"/>
        <item x="66"/>
        <item x="110"/>
        <item x="65"/>
        <item x="128"/>
        <item x="107"/>
        <item x="103"/>
        <item x="79"/>
        <item x="75"/>
        <item x="77"/>
        <item x="86"/>
        <item x="47"/>
        <item x="127"/>
        <item x="124"/>
        <item x="141"/>
        <item x="0"/>
        <item x="2"/>
        <item x="12"/>
        <item x="3"/>
        <item x="126"/>
        <item x="20"/>
        <item x="30"/>
        <item x="144"/>
        <item x="41"/>
        <item t="default"/>
      </items>
    </pivotField>
    <pivotField showAll="0"/>
    <pivotField showAll="0"/>
    <pivotField numFmtId="164" showAll="0"/>
    <pivotField showAll="0"/>
    <pivotField axis="axisRow" showAll="0">
      <items count="9">
        <item x="4"/>
        <item x="0"/>
        <item x="3"/>
        <item x="2"/>
        <item x="7"/>
        <item x="1"/>
        <item x="5"/>
        <item x="6"/>
        <item t="default"/>
      </items>
    </pivotField>
    <pivotField showAll="0"/>
    <pivotField showAll="0"/>
    <pivotField showAll="0"/>
    <pivotField numFmtId="1" showAll="0"/>
    <pivotField showAll="0"/>
    <pivotField showAll="0"/>
    <pivotField showAll="0"/>
    <pivotField showAll="0"/>
    <pivotField showAll="0"/>
    <pivotField showAll="0"/>
    <pivotField dataField="1" numFmtId="1"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9">
    <i>
      <x/>
    </i>
    <i>
      <x v="1"/>
    </i>
    <i>
      <x v="2"/>
    </i>
    <i>
      <x v="3"/>
    </i>
    <i>
      <x v="4"/>
    </i>
    <i>
      <x v="5"/>
    </i>
    <i>
      <x v="6"/>
    </i>
    <i>
      <x v="7"/>
    </i>
    <i t="grand">
      <x/>
    </i>
  </rowItems>
  <colFields count="1">
    <field x="-2"/>
  </colFields>
  <colItems count="2">
    <i>
      <x/>
    </i>
    <i i="1">
      <x v="1"/>
    </i>
  </colItems>
  <dataFields count="2">
    <dataField name="Count of OrderID" fld="0" subtotal="count" baseField="0" baseItem="0"/>
    <dataField name="Average of DeliveryTimeTaken_Min" fld="17" subtotal="average" baseField="6"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07A1FC-749C-4EB9-8C13-2EA88E5CBBB7}"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D102:E110" firstHeaderRow="1" firstDataRow="1" firstDataCol="1"/>
  <pivotFields count="32">
    <pivotField showAll="0"/>
    <pivotField showAll="0">
      <items count="150">
        <item x="116"/>
        <item x="97"/>
        <item x="23"/>
        <item x="18"/>
        <item x="111"/>
        <item x="16"/>
        <item x="120"/>
        <item x="100"/>
        <item x="82"/>
        <item x="34"/>
        <item x="90"/>
        <item x="135"/>
        <item x="50"/>
        <item x="85"/>
        <item x="102"/>
        <item x="46"/>
        <item x="4"/>
        <item x="72"/>
        <item x="132"/>
        <item x="142"/>
        <item x="123"/>
        <item x="68"/>
        <item x="131"/>
        <item x="118"/>
        <item x="58"/>
        <item x="60"/>
        <item x="122"/>
        <item x="98"/>
        <item x="11"/>
        <item x="55"/>
        <item x="133"/>
        <item x="9"/>
        <item x="104"/>
        <item x="29"/>
        <item x="73"/>
        <item x="26"/>
        <item x="57"/>
        <item x="52"/>
        <item x="139"/>
        <item x="138"/>
        <item x="129"/>
        <item x="71"/>
        <item x="25"/>
        <item x="36"/>
        <item x="119"/>
        <item x="7"/>
        <item x="81"/>
        <item x="114"/>
        <item x="99"/>
        <item x="130"/>
        <item x="61"/>
        <item x="101"/>
        <item x="95"/>
        <item x="28"/>
        <item x="39"/>
        <item x="49"/>
        <item x="21"/>
        <item x="33"/>
        <item x="62"/>
        <item x="8"/>
        <item x="93"/>
        <item x="44"/>
        <item x="31"/>
        <item x="10"/>
        <item x="69"/>
        <item x="63"/>
        <item x="53"/>
        <item x="88"/>
        <item x="5"/>
        <item x="35"/>
        <item x="27"/>
        <item x="24"/>
        <item x="22"/>
        <item x="13"/>
        <item x="147"/>
        <item x="109"/>
        <item x="96"/>
        <item x="92"/>
        <item x="89"/>
        <item x="87"/>
        <item x="70"/>
        <item x="40"/>
        <item x="6"/>
        <item x="80"/>
        <item x="145"/>
        <item x="125"/>
        <item x="136"/>
        <item x="148"/>
        <item x="74"/>
        <item x="112"/>
        <item x="94"/>
        <item x="115"/>
        <item x="117"/>
        <item x="67"/>
        <item x="105"/>
        <item x="108"/>
        <item x="137"/>
        <item x="42"/>
        <item x="38"/>
        <item x="37"/>
        <item x="56"/>
        <item x="78"/>
        <item x="83"/>
        <item x="146"/>
        <item x="64"/>
        <item x="140"/>
        <item x="91"/>
        <item x="121"/>
        <item x="143"/>
        <item x="59"/>
        <item x="84"/>
        <item x="106"/>
        <item x="17"/>
        <item x="32"/>
        <item x="134"/>
        <item x="113"/>
        <item x="15"/>
        <item x="19"/>
        <item x="54"/>
        <item x="76"/>
        <item x="51"/>
        <item x="43"/>
        <item x="48"/>
        <item x="14"/>
        <item x="1"/>
        <item x="45"/>
        <item x="66"/>
        <item x="110"/>
        <item x="65"/>
        <item x="128"/>
        <item x="107"/>
        <item x="103"/>
        <item x="79"/>
        <item x="75"/>
        <item x="77"/>
        <item x="86"/>
        <item x="47"/>
        <item x="127"/>
        <item x="124"/>
        <item x="141"/>
        <item x="0"/>
        <item x="2"/>
        <item x="12"/>
        <item x="3"/>
        <item x="126"/>
        <item x="20"/>
        <item x="30"/>
        <item x="144"/>
        <item x="41"/>
        <item t="default"/>
      </items>
    </pivotField>
    <pivotField showAll="0"/>
    <pivotField showAll="0"/>
    <pivotField numFmtId="164" showAll="0"/>
    <pivotField showAll="0"/>
    <pivotField axis="axisRow" showAll="0">
      <items count="9">
        <item x="4"/>
        <item x="0"/>
        <item x="3"/>
        <item x="2"/>
        <item x="7"/>
        <item x="1"/>
        <item x="5"/>
        <item x="6"/>
        <item t="default"/>
      </items>
    </pivotField>
    <pivotField showAll="0"/>
    <pivotField showAll="0"/>
    <pivotField showAll="0"/>
    <pivotField numFmtId="1" showAll="0"/>
    <pivotField showAll="0"/>
    <pivotField showAll="0"/>
    <pivotField showAll="0"/>
    <pivotField showAll="0"/>
    <pivotField showAll="0"/>
    <pivotField showAll="0"/>
    <pivotField dataField="1" numFmtId="1"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8">
    <i>
      <x/>
    </i>
    <i>
      <x v="1"/>
    </i>
    <i>
      <x v="2"/>
    </i>
    <i>
      <x v="3"/>
    </i>
    <i>
      <x v="4"/>
    </i>
    <i>
      <x v="5"/>
    </i>
    <i>
      <x v="6"/>
    </i>
    <i>
      <x v="7"/>
    </i>
  </rowItems>
  <colItems count="1">
    <i/>
  </colItems>
  <dataFields count="1">
    <dataField name="Average of DeliveryTimeTaken_Min" fld="17" subtotal="average" baseField="6"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15590C-C0DD-4C4B-B759-6B4B61C8EF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K19" firstHeaderRow="1" firstDataRow="3" firstDataCol="1"/>
  <pivotFields count="32">
    <pivotField showAll="0"/>
    <pivotField showAll="0">
      <items count="150">
        <item x="116"/>
        <item x="97"/>
        <item x="23"/>
        <item x="18"/>
        <item x="111"/>
        <item x="16"/>
        <item x="120"/>
        <item x="100"/>
        <item x="82"/>
        <item x="34"/>
        <item x="90"/>
        <item x="135"/>
        <item x="50"/>
        <item x="85"/>
        <item x="102"/>
        <item x="46"/>
        <item x="4"/>
        <item x="72"/>
        <item x="132"/>
        <item x="142"/>
        <item x="123"/>
        <item x="68"/>
        <item x="131"/>
        <item x="118"/>
        <item x="58"/>
        <item x="60"/>
        <item x="122"/>
        <item x="98"/>
        <item x="11"/>
        <item x="55"/>
        <item x="133"/>
        <item x="9"/>
        <item x="104"/>
        <item x="29"/>
        <item x="73"/>
        <item x="26"/>
        <item x="57"/>
        <item x="52"/>
        <item x="139"/>
        <item x="138"/>
        <item x="129"/>
        <item x="71"/>
        <item x="25"/>
        <item x="36"/>
        <item x="119"/>
        <item x="7"/>
        <item x="81"/>
        <item x="114"/>
        <item x="99"/>
        <item x="130"/>
        <item x="61"/>
        <item x="101"/>
        <item x="95"/>
        <item x="28"/>
        <item x="39"/>
        <item x="49"/>
        <item x="21"/>
        <item x="33"/>
        <item x="62"/>
        <item x="8"/>
        <item x="93"/>
        <item x="44"/>
        <item x="31"/>
        <item x="10"/>
        <item x="69"/>
        <item x="63"/>
        <item x="53"/>
        <item x="88"/>
        <item x="5"/>
        <item x="35"/>
        <item x="27"/>
        <item x="24"/>
        <item x="22"/>
        <item x="13"/>
        <item x="147"/>
        <item x="109"/>
        <item x="96"/>
        <item x="92"/>
        <item x="89"/>
        <item x="87"/>
        <item x="70"/>
        <item x="40"/>
        <item x="6"/>
        <item x="80"/>
        <item x="145"/>
        <item x="125"/>
        <item x="136"/>
        <item x="148"/>
        <item x="74"/>
        <item x="112"/>
        <item x="94"/>
        <item x="115"/>
        <item x="117"/>
        <item x="67"/>
        <item x="105"/>
        <item x="108"/>
        <item x="137"/>
        <item x="42"/>
        <item x="38"/>
        <item x="37"/>
        <item x="56"/>
        <item x="78"/>
        <item x="83"/>
        <item x="146"/>
        <item x="64"/>
        <item x="140"/>
        <item x="91"/>
        <item x="121"/>
        <item x="143"/>
        <item x="59"/>
        <item x="84"/>
        <item x="106"/>
        <item x="17"/>
        <item x="32"/>
        <item x="134"/>
        <item x="113"/>
        <item x="15"/>
        <item x="19"/>
        <item x="54"/>
        <item x="76"/>
        <item x="51"/>
        <item x="43"/>
        <item x="48"/>
        <item x="14"/>
        <item x="1"/>
        <item x="45"/>
        <item x="66"/>
        <item x="110"/>
        <item x="65"/>
        <item x="128"/>
        <item x="107"/>
        <item x="103"/>
        <item x="79"/>
        <item x="75"/>
        <item x="77"/>
        <item x="86"/>
        <item x="47"/>
        <item x="127"/>
        <item x="124"/>
        <item x="141"/>
        <item x="0"/>
        <item x="2"/>
        <item x="12"/>
        <item x="3"/>
        <item x="126"/>
        <item x="20"/>
        <item x="30"/>
        <item x="144"/>
        <item x="41"/>
        <item t="default"/>
      </items>
    </pivotField>
    <pivotField showAll="0"/>
    <pivotField showAll="0"/>
    <pivotField numFmtId="164" showAll="0"/>
    <pivotField showAll="0"/>
    <pivotField axis="axisRow" showAll="0">
      <items count="9">
        <item x="4"/>
        <item x="0"/>
        <item x="3"/>
        <item x="2"/>
        <item x="7"/>
        <item x="1"/>
        <item x="5"/>
        <item x="6"/>
        <item t="default"/>
      </items>
    </pivotField>
    <pivotField showAll="0"/>
    <pivotField showAll="0"/>
    <pivotField showAll="0"/>
    <pivotField numFmtId="1" showAll="0"/>
    <pivotField showAll="0"/>
    <pivotField showAll="0">
      <items count="6">
        <item x="1"/>
        <item x="4"/>
        <item x="0"/>
        <item x="3"/>
        <item x="2"/>
        <item t="default"/>
      </items>
    </pivotField>
    <pivotField showAll="0"/>
    <pivotField showAll="0"/>
    <pivotField showAll="0"/>
    <pivotField showAll="0"/>
    <pivotField numFmtId="1" showAll="0"/>
    <pivotField showAll="0"/>
    <pivotField showAll="0"/>
    <pivotField showAll="0"/>
    <pivotField showAll="0"/>
    <pivotField showAll="0"/>
    <pivotField numFmtId="1" showAll="0"/>
    <pivotField showAll="0"/>
    <pivotField showAll="0"/>
    <pivotField dataField="1" numFmtId="1" showAll="0"/>
    <pivotField showAll="0"/>
    <pivotField showAll="0"/>
    <pivotField showAll="0"/>
    <pivotField axis="axisCol" showAll="0">
      <items count="15">
        <item x="0"/>
        <item x="1"/>
        <item x="2"/>
        <item x="3"/>
        <item x="4"/>
        <item x="5"/>
        <item x="6"/>
        <item x="7"/>
        <item x="8"/>
        <item x="9"/>
        <item x="10"/>
        <item x="11"/>
        <item x="12"/>
        <item x="13"/>
        <item t="default"/>
      </items>
    </pivotField>
    <pivotField axis="axisCol" showAll="0">
      <items count="5">
        <item h="1" sd="0" x="0"/>
        <item x="1"/>
        <item x="2"/>
        <item h="1" x="3"/>
        <item t="default"/>
      </items>
    </pivotField>
  </pivotFields>
  <rowFields count="1">
    <field x="6"/>
  </rowFields>
  <rowItems count="9">
    <i>
      <x/>
    </i>
    <i>
      <x v="1"/>
    </i>
    <i>
      <x v="2"/>
    </i>
    <i>
      <x v="3"/>
    </i>
    <i>
      <x v="4"/>
    </i>
    <i>
      <x v="5"/>
    </i>
    <i>
      <x v="6"/>
    </i>
    <i>
      <x v="7"/>
    </i>
    <i t="grand">
      <x/>
    </i>
  </rowItems>
  <colFields count="2">
    <field x="31"/>
    <field x="30"/>
  </colFields>
  <colItems count="9">
    <i>
      <x v="1"/>
      <x v="8"/>
    </i>
    <i r="1">
      <x v="9"/>
    </i>
    <i r="1">
      <x v="10"/>
    </i>
    <i r="1">
      <x v="11"/>
    </i>
    <i r="1">
      <x v="12"/>
    </i>
    <i t="default">
      <x v="1"/>
    </i>
    <i>
      <x v="2"/>
      <x v="1"/>
    </i>
    <i t="default">
      <x v="2"/>
    </i>
    <i t="grand">
      <x/>
    </i>
  </colItems>
  <dataFields count="1">
    <dataField name="Sum of Final Amount" fld="2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371053-ACB5-4A25-8F8E-F2CCAF7785A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B102:C110" firstHeaderRow="1" firstDataRow="1" firstDataCol="1"/>
  <pivotFields count="32">
    <pivotField showAll="0"/>
    <pivotField showAll="0">
      <items count="150">
        <item x="116"/>
        <item x="97"/>
        <item x="23"/>
        <item x="18"/>
        <item x="111"/>
        <item x="16"/>
        <item x="120"/>
        <item x="100"/>
        <item x="82"/>
        <item x="34"/>
        <item x="90"/>
        <item x="135"/>
        <item x="50"/>
        <item x="85"/>
        <item x="102"/>
        <item x="46"/>
        <item x="4"/>
        <item x="72"/>
        <item x="132"/>
        <item x="142"/>
        <item x="123"/>
        <item x="68"/>
        <item x="131"/>
        <item x="118"/>
        <item x="58"/>
        <item x="60"/>
        <item x="122"/>
        <item x="98"/>
        <item x="11"/>
        <item x="55"/>
        <item x="133"/>
        <item x="9"/>
        <item x="104"/>
        <item x="29"/>
        <item x="73"/>
        <item x="26"/>
        <item x="57"/>
        <item x="52"/>
        <item x="139"/>
        <item x="138"/>
        <item x="129"/>
        <item x="71"/>
        <item x="25"/>
        <item x="36"/>
        <item x="119"/>
        <item x="7"/>
        <item x="81"/>
        <item x="114"/>
        <item x="99"/>
        <item x="130"/>
        <item x="61"/>
        <item x="101"/>
        <item x="95"/>
        <item x="28"/>
        <item x="39"/>
        <item x="49"/>
        <item x="21"/>
        <item x="33"/>
        <item x="62"/>
        <item x="8"/>
        <item x="93"/>
        <item x="44"/>
        <item x="31"/>
        <item x="10"/>
        <item x="69"/>
        <item x="63"/>
        <item x="53"/>
        <item x="88"/>
        <item x="5"/>
        <item x="35"/>
        <item x="27"/>
        <item x="24"/>
        <item x="22"/>
        <item x="13"/>
        <item x="147"/>
        <item x="109"/>
        <item x="96"/>
        <item x="92"/>
        <item x="89"/>
        <item x="87"/>
        <item x="70"/>
        <item x="40"/>
        <item x="6"/>
        <item x="80"/>
        <item x="145"/>
        <item x="125"/>
        <item x="136"/>
        <item x="148"/>
        <item x="74"/>
        <item x="112"/>
        <item x="94"/>
        <item x="115"/>
        <item x="117"/>
        <item x="67"/>
        <item x="105"/>
        <item x="108"/>
        <item x="137"/>
        <item x="42"/>
        <item x="38"/>
        <item x="37"/>
        <item x="56"/>
        <item x="78"/>
        <item x="83"/>
        <item x="146"/>
        <item x="64"/>
        <item x="140"/>
        <item x="91"/>
        <item x="121"/>
        <item x="143"/>
        <item x="59"/>
        <item x="84"/>
        <item x="106"/>
        <item x="17"/>
        <item x="32"/>
        <item x="134"/>
        <item x="113"/>
        <item x="15"/>
        <item x="19"/>
        <item x="54"/>
        <item x="76"/>
        <item x="51"/>
        <item x="43"/>
        <item x="48"/>
        <item x="14"/>
        <item x="1"/>
        <item x="45"/>
        <item x="66"/>
        <item x="110"/>
        <item x="65"/>
        <item x="128"/>
        <item x="107"/>
        <item x="103"/>
        <item x="79"/>
        <item x="75"/>
        <item x="77"/>
        <item x="86"/>
        <item x="47"/>
        <item x="127"/>
        <item x="124"/>
        <item x="141"/>
        <item x="0"/>
        <item x="2"/>
        <item x="12"/>
        <item x="3"/>
        <item x="126"/>
        <item x="20"/>
        <item x="30"/>
        <item x="144"/>
        <item x="41"/>
        <item t="default"/>
      </items>
    </pivotField>
    <pivotField showAll="0"/>
    <pivotField showAll="0"/>
    <pivotField numFmtId="164" showAll="0"/>
    <pivotField showAll="0"/>
    <pivotField axis="axisRow" showAll="0">
      <items count="9">
        <item x="4"/>
        <item x="0"/>
        <item x="3"/>
        <item x="2"/>
        <item x="7"/>
        <item x="1"/>
        <item x="5"/>
        <item x="6"/>
        <item t="default"/>
      </items>
    </pivotField>
    <pivotField showAll="0"/>
    <pivotField showAll="0"/>
    <pivotField showAll="0"/>
    <pivotField numFmtId="1" showAll="0"/>
    <pivotField showAll="0"/>
    <pivotField showAll="0"/>
    <pivotField showAll="0"/>
    <pivotField showAll="0"/>
    <pivotField showAll="0"/>
    <pivotField dataField="1" showAll="0"/>
    <pivotField numFmtId="1"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8">
    <i>
      <x/>
    </i>
    <i>
      <x v="1"/>
    </i>
    <i>
      <x v="2"/>
    </i>
    <i>
      <x v="3"/>
    </i>
    <i>
      <x v="4"/>
    </i>
    <i>
      <x v="5"/>
    </i>
    <i>
      <x v="6"/>
    </i>
    <i>
      <x v="7"/>
    </i>
  </rowItems>
  <colItems count="1">
    <i/>
  </colItems>
  <dataFields count="1">
    <dataField name="Average of CustomerRating" fld="16" subtotal="average"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21350F48-D3EB-45C1-9F48-53D3626798E1}" sourceName="PaymentMethod">
  <pivotTables>
    <pivotTable tabId="10" name="PivotTable1"/>
  </pivotTables>
  <data>
    <tabular pivotCacheId="653769111">
      <items count="5">
        <i x="1" s="1"/>
        <i x="4"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62040462-CE5B-4D48-BA5F-F0651DB36CEC}" cache="Slicer_PaymentMethod" caption="Payment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C25D67-8D47-4675-AE9A-2002840524B8}" name="Table5" displayName="Table5" ref="A1:AD327" totalsRowShown="0" headerRowDxfId="40" dataDxfId="39">
  <autoFilter ref="A1:AD327" xr:uid="{2AC25D67-8D47-4675-AE9A-2002840524B8}"/>
  <sortState xmlns:xlrd2="http://schemas.microsoft.com/office/spreadsheetml/2017/richdata2" ref="A2:AD327">
    <sortCondition ref="A1:A327"/>
  </sortState>
  <tableColumns count="30">
    <tableColumn id="1" xr3:uid="{176C8DB9-E829-4B1E-90DD-8451EF02384B}" name="OrderID" dataDxfId="38"/>
    <tableColumn id="2" xr3:uid="{94F94174-82D3-4F0E-8104-4A1CD029C0FD}" name="OrderDate" dataDxfId="37"/>
    <tableColumn id="3" xr3:uid="{538D145A-AF0E-4570-93D3-E60597DD9D1F}" name="Customer Name" dataDxfId="36"/>
    <tableColumn id="4" xr3:uid="{7106BC9E-1666-4BFA-9BCF-992D55FE4B72}" name="Customer Phone" dataDxfId="35"/>
    <tableColumn id="5" xr3:uid="{EEB99E47-C344-4CBF-9CF4-BA1084F1209D}" name="CustomerSignupDate" dataDxfId="34"/>
    <tableColumn id="6" xr3:uid="{52A25149-80AE-4540-8095-5DDC57D7890C}" name="Customer Type" dataDxfId="33">
      <calculatedColumnFormula>IF(B2-E2&lt;=2,"New","Returning")</calculatedColumnFormula>
    </tableColumn>
    <tableColumn id="7" xr3:uid="{E0BCF0D5-2D99-45BE-AF70-A540D329FD4B}" name="City" dataDxfId="32"/>
    <tableColumn id="8" xr3:uid="{45689DCD-99BD-4F88-B173-4816903BE308}" name="Restaurant Partner" dataDxfId="31"/>
    <tableColumn id="9" xr3:uid="{5E73A583-C0A2-4722-93F5-FDFDEFDC8FB9}" name="ItemCategory" dataDxfId="30"/>
    <tableColumn id="10" xr3:uid="{DBFF8374-2A3D-4D7A-908B-C498E3BA2818}" name="ItemName" dataDxfId="29"/>
    <tableColumn id="11" xr3:uid="{44AE104F-ED02-4070-A5D5-17E82CE15B81}" name="Quantity" dataDxfId="28"/>
    <tableColumn id="12" xr3:uid="{DA7C26F4-0E3C-4DC0-84C3-D49249122836}" name="RiderID" dataDxfId="27"/>
    <tableColumn id="13" xr3:uid="{B800A2DB-28C6-4C16-A4E3-11120415EC93}" name="PaymentMethod" dataDxfId="26"/>
    <tableColumn id="14" xr3:uid="{793CBAA0-4E55-4B82-91CC-673583C8AB8F}" name="PromoCode" dataDxfId="25"/>
    <tableColumn id="15" xr3:uid="{50DC5C85-7578-4F8D-A6D0-76353AE38796}" name="OrderStatus" dataDxfId="24"/>
    <tableColumn id="16" xr3:uid="{BD78E8F7-AD4A-4004-90D6-E3DD1034086D}" name="Status Review" dataDxfId="23">
      <calculatedColumnFormula>IF(O2=""," NEED REVIEW","")</calculatedColumnFormula>
    </tableColumn>
    <tableColumn id="17" xr3:uid="{154D10A4-B3EA-4380-A612-8BAC851057AA}" name="CustomerRating" dataDxfId="22"/>
    <tableColumn id="18" xr3:uid="{51755B63-34AE-4C49-9377-3D1FFDBC7C36}" name="DeliveryTimeTaken_Min" dataDxfId="21"/>
    <tableColumn id="19" xr3:uid="{8FCC827A-911A-4DBE-B562-3CA9C5A333E7}" name="FeedbackText" dataDxfId="20"/>
    <tableColumn id="20" xr3:uid="{4C2C04C4-C938-44A7-955B-96CEE5026F0F}" name="Order Summary" dataDxfId="19">
      <calculatedColumnFormula>_xlfn.CONCAT(Table5[[#This Row],[OrderID]]," | ",Table5[[#This Row],[City]]," | ",Table5[[#This Row],[ItemName]])</calculatedColumnFormula>
    </tableColumn>
    <tableColumn id="21" xr3:uid="{B943E622-6283-4147-A4BF-2137FABCCE57}" name="City Upper" dataDxfId="18">
      <calculatedColumnFormula>UPPER(Table5[[#This Row],[City]])</calculatedColumnFormula>
    </tableColumn>
    <tableColumn id="22" xr3:uid="{0FCB7257-0207-4E6C-A27B-28886696A905}" name="Payment Lower" dataDxfId="17">
      <calculatedColumnFormula>LOWER(Table5[[#This Row],[PaymentMethod]])</calculatedColumnFormula>
    </tableColumn>
    <tableColumn id="23" xr3:uid="{D3FF4261-B63F-4822-B710-890B5E886334}" name="Unit Price" dataDxfId="16">
      <calculatedColumnFormula array="1">_xlfn.XLOOKUP(TRIM(Table5[[#This Row],[ItemName]]), TRIM(Menu_Price_List_tbl[ItemName]),Menu_Price_List_tbl[UnitPrice_NPR])</calculatedColumnFormula>
    </tableColumn>
    <tableColumn id="24" xr3:uid="{7CB51F69-19E2-4C35-9C8F-0959D76AC485}" name="Order Amount" dataDxfId="15">
      <calculatedColumnFormula>W2*K2</calculatedColumnFormula>
    </tableColumn>
    <tableColumn id="25" xr3:uid="{EB51C6C3-EB01-42CE-B65F-4B7844F251CF}" name="Delivery Fee" dataDxfId="14">
      <calculatedColumnFormula>_xlfn.XLOOKUP(Table5[[#This Row],[City]],City_Delivery_Fee_tbl[City],City_Delivery_Fee_tbl[BaseDeliveryFee_NPR])</calculatedColumnFormula>
    </tableColumn>
    <tableColumn id="29" xr3:uid="{07F31EEC-F69D-4E42-8CD8-07069F750C89}" name="Discount Amount" dataDxfId="13">
      <calculatedColumnFormula>IF(ISBLANK(Table5[[#This Row],[PromoCode]]), 0,
  _xlfn.LET(
    _xlpm.type, _xlfn.XLOOKUP(Table5[[#This Row],[PromoCode]], Promo_Codes!$A$2:$A$9, Promo_Codes!$C$2:$C$9, "Flat"),
    _xlpm.val, _xlfn.XLOOKUP(Table5[[#This Row],[PromoCode]], Promo_Codes!$A$2:$A$9, Promo_Codes!$D$2:$D$9, 0),
    IF(_xlpm.type="Percentage", Table5[[#This Row],[Order Amount]]*(_xlpm.val/100), _xlpm.val)
  )
)</calculatedColumnFormula>
    </tableColumn>
    <tableColumn id="26" xr3:uid="{B764EB41-6905-4AF4-820D-05179E23A99D}" name="Final Amount" dataDxfId="12">
      <calculatedColumnFormula>Table5[[#This Row],[Order Amount]]+Table5[[#This Row],[Delivery Fee]]-Table5[[#This Row],[Discount Amount]]</calculatedColumnFormula>
    </tableColumn>
    <tableColumn id="27" xr3:uid="{D7A9265C-3B19-4BA3-8752-D6ED376836E3}" name="Rider City" dataDxfId="11">
      <calculatedColumnFormula>_xlfn.XLOOKUP(Table5[[#This Row],[RiderID]], Rider_Directory!$F$2:$F$26, Rider_Directory!$B$2:$B$26)</calculatedColumnFormula>
    </tableColumn>
    <tableColumn id="30" xr3:uid="{A05826E4-EC1C-444E-8761-4B199BEE494A}" name="Value Tier" dataDxfId="10">
      <calculatedColumnFormula array="1">_xlfn.IFS(Table5[[#This Row],[Final Amount]]&lt;500, "Small", Table5[[#This Row],[Final Amount]]&lt;=1000, "Medium", Table5[[#This Row],[Final Amount]]&gt;1000, "Large")</calculatedColumnFormula>
    </tableColumn>
    <tableColumn id="31" xr3:uid="{FC92D73A-9771-4CEC-90DF-95A256DF8D53}" name="Promo Check" dataDxfId="9">
      <calculatedColumnFormula>_xlfn.LET(_xlpm.expiry,_xlfn.XLOOKUP(Table5[[#This Row],[PromoCode]],Promo_Codes!$A$2:$A$9,Promo_Codes!$F$2:$F$9,DATE(2099,1,1)),IF(Table5[[#This Row],[OrderDate]]&gt;_xlpm.expiry,"Expired Code Used","Valid"))</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925BF1-DE4D-49D8-B30A-702213BEBE79}" name="Table7" displayName="Table7" ref="B1:D2" totalsRowShown="0">
  <autoFilter ref="B1:D2" xr:uid="{8F925BF1-DE4D-49D8-B30A-702213BEBE79}"/>
  <tableColumns count="3">
    <tableColumn id="1" xr3:uid="{AD516645-8A00-47A8-972C-D506BDF73BD4}" name="Total Reveue" dataDxfId="41" dataCellStyle="Currency">
      <calculatedColumnFormula>IF($M$1="All",SUM(Table5[Final Amount]),SUMIFS(Table5[Final Amount],Table5[City],$M$1))</calculatedColumnFormula>
    </tableColumn>
    <tableColumn id="2" xr3:uid="{AC67B47F-FF75-4E1C-97E3-A615E3B65564}" name="Average Rating">
      <calculatedColumnFormula>IF($M$1="All",AVERAGE(Table5[CustomerRating]),AVERAGEIF(Table5[City],$M$1,Table5[CustomerRating]))</calculatedColumnFormula>
    </tableColumn>
    <tableColumn id="3" xr3:uid="{3FF57ADE-8A0E-4D00-9794-7B98243FD69B}" name="Cancellation Rate" dataCellStyle="Percent">
      <calculatedColumnFormula>IF($M$1="All",COUNTIF(Orders_Work!$O$310:$O$327,"Cancelled")/COUNTA(Table5[OrderID]),COUNTIFS(Orders_Work!$O$310:$O$327,"Cancelled",Orders_Work!$G$310:$G$327,$M$1)/COUNTIF(Orders_Work!$G$310:$G$327,$M$1))</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9DBC9CC-6BC4-4627-87A3-91108ABFFA9E}" name="Table8" displayName="Table8" ref="C118:D123" totalsRowShown="0">
  <autoFilter ref="C118:D123" xr:uid="{19DBC9CC-6BC4-4627-87A3-91108ABFFA9E}"/>
  <tableColumns count="2">
    <tableColumn id="1" xr3:uid="{489871F1-AB46-4F40-A6F0-CD33D5A62D63}" name="Category"/>
    <tableColumn id="2" xr3:uid="{58097AC3-D3D5-4107-9EB7-19C8D16756AD}" name="Amou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nu_Price_List_tbl" displayName="Menu_Price_List_tbl" ref="A1:C40">
  <autoFilter ref="A1:C40" xr:uid="{00000000-0009-0000-0100-000001000000}"/>
  <tableColumns count="3">
    <tableColumn id="1" xr3:uid="{00000000-0010-0000-0000-000001000000}" name="ItemName"/>
    <tableColumn id="2" xr3:uid="{00000000-0010-0000-0000-000002000000}" name="ItemCategory"/>
    <tableColumn id="3" xr3:uid="{00000000-0010-0000-0000-000003000000}" name="UnitPrice_NPR"/>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ider_Directory_tbl" displayName="Rider_Directory_tbl" ref="A1:G26">
  <autoFilter ref="A1:G26" xr:uid="{00000000-0009-0000-0100-000002000000}"/>
  <tableColumns count="7">
    <tableColumn id="1" xr3:uid="{00000000-0010-0000-0100-000001000000}" name="RiderName"/>
    <tableColumn id="2" xr3:uid="{00000000-0010-0000-0100-000002000000}" name="CityZone"/>
    <tableColumn id="3" xr3:uid="{00000000-0010-0000-0100-000003000000}" name="VehicleType"/>
    <tableColumn id="4" xr3:uid="{00000000-0010-0000-0100-000004000000}" name="JoinDate"/>
    <tableColumn id="5" xr3:uid="{00000000-0010-0000-0100-000005000000}" name="RiderStatus"/>
    <tableColumn id="6" xr3:uid="{00000000-0010-0000-0100-000006000000}" name="RiderID"/>
    <tableColumn id="7" xr3:uid="{977EE0AE-815F-4473-99E9-873AD91FE356}" name="Order Complete" dataDxfId="8">
      <calculatedColumnFormula>COUNTIFS(Orders_Work!L2:$L$327,F2,Orders_Work!O2:$O$327,"Delivered")</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mo_Codes_tbl" displayName="Promo_Codes_tbl" ref="A1:F9">
  <autoFilter ref="A1:F9" xr:uid="{00000000-0009-0000-0100-000003000000}"/>
  <tableColumns count="6">
    <tableColumn id="1" xr3:uid="{00000000-0010-0000-0200-000001000000}" name="PromoCode"/>
    <tableColumn id="2" xr3:uid="{00000000-0010-0000-0200-000002000000}" name="Description"/>
    <tableColumn id="3" xr3:uid="{00000000-0010-0000-0200-000003000000}" name="DiscountType"/>
    <tableColumn id="4" xr3:uid="{00000000-0010-0000-0200-000004000000}" name="DiscountValue"/>
    <tableColumn id="5" xr3:uid="{00000000-0010-0000-0200-000005000000}" name="ValidFrom"/>
    <tableColumn id="6" xr3:uid="{00000000-0010-0000-0200-000006000000}" name="ValidTo"/>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ity_Delivery_Fee_tbl" displayName="City_Delivery_Fee_tbl" ref="A1:C9">
  <autoFilter ref="A1:C9" xr:uid="{00000000-0009-0000-0100-000004000000}"/>
  <tableColumns count="3">
    <tableColumn id="1" xr3:uid="{00000000-0010-0000-0300-000001000000}" name="City"/>
    <tableColumn id="2" xr3:uid="{00000000-0010-0000-0300-000002000000}" name="Zone"/>
    <tableColumn id="3" xr3:uid="{00000000-0010-0000-0300-000003000000}" name="BaseDeliveryFee_NPR"/>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14ABAD8-0983-4BF4-B859-A2297E3A0EF8}" name="Table12" displayName="Table12" ref="A1:E41" totalsRowShown="0">
  <autoFilter ref="A1:E41" xr:uid="{E14ABAD8-0983-4BF4-B859-A2297E3A0EF8}"/>
  <tableColumns count="5">
    <tableColumn id="1" xr3:uid="{F113DD30-7E34-491A-93BA-99BFD42FE458}" name="Dates ( Weekly) " dataDxfId="7"/>
    <tableColumn id="2" xr3:uid="{8DD21399-A8E7-4B12-AEBC-67C402628A82}" name="Total Orders"/>
    <tableColumn id="3" xr3:uid="{631D1F1B-BC45-480F-A2F5-399DE06C4041}" name="Forecast(Total Orders)">
      <calculatedColumnFormula>_xlfn.FORECAST.ETS(A2,$B$2:$B$27,$A$2:$A$27,1,1)</calculatedColumnFormula>
    </tableColumn>
    <tableColumn id="4" xr3:uid="{325BF22B-D1C5-4B52-984B-0DC18B33B227}" name="Lower Confidence Bound(Total Orders)" dataDxfId="6">
      <calculatedColumnFormula>C2-_xlfn.FORECAST.ETS.CONFINT(A2,$B$2:$B$27,$A$2:$A$27,0.95,1,1)</calculatedColumnFormula>
    </tableColumn>
    <tableColumn id="5" xr3:uid="{1C47317D-4839-4FA5-81F2-8CE64C581D9B}" name="Upper Confidence Bound(Total Orders)" dataDxfId="5">
      <calculatedColumnFormula>C2+_xlfn.FORECAST.ETS.CONFINT(A2,$B$2:$B$27,$A$2:$A$27,0.95,1,1)</calculatedColumnFormula>
    </tableColum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7835AB0-FAA0-4E78-9B4B-19C2943FCEE2}" name="Table16" displayName="Table16" ref="A6:C7" totalsRowShown="0">
  <autoFilter ref="A6:C7" xr:uid="{37835AB0-FAA0-4E78-9B4B-19C2943FCEE2}"/>
  <tableColumns count="3">
    <tableColumn id="1" xr3:uid="{37C48F9D-CBBB-44DD-A3B3-B11F82B80DDA}" name="Delivery Fee"/>
    <tableColumn id="2" xr3:uid="{FFFBE513-7D7A-475E-BD14-B185C193AC52}" name="Monthly Orders"/>
    <tableColumn id="3" xr3:uid="{02E00604-9F3A-4114-9F88-810DC809207E}" name="Projected Revenue">
      <calculatedColumnFormula>B7*B2+B7*A7</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7EDAE30-8EF6-4764-B4A5-8DCF9D0B6622}" name="Table17" displayName="Table17" ref="A1:C2" totalsRowShown="0">
  <autoFilter ref="A1:C2" xr:uid="{97EDAE30-8EF6-4764-B4A5-8DCF9D0B6622}"/>
  <tableColumns count="3">
    <tableColumn id="1" xr3:uid="{9C88E276-370D-4013-906C-A6A9DBF8B98E}" name="Tota Orders"/>
    <tableColumn id="2" xr3:uid="{902A167B-2700-48DE-80F1-CF1FD853CB17}" name="Average Order">
      <calculatedColumnFormula>AVERAGE(Table5[Final Amount])</calculatedColumnFormula>
    </tableColumn>
    <tableColumn id="3" xr3:uid="{90EE1D8D-2F9A-4986-B49A-78DAE0C78E7C}" name="Revenue">
      <calculatedColumnFormula>A2*B2</calculatedColumnFormula>
    </tableColum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508ADD-CE9A-4323-BB96-5F0433E8DD79}" name="Table1719" displayName="Table1719" ref="A20:C21" totalsRowShown="0">
  <autoFilter ref="A20:C21" xr:uid="{82508ADD-CE9A-4323-BB96-5F0433E8DD79}"/>
  <tableColumns count="3">
    <tableColumn id="1" xr3:uid="{75F26C4D-D4D6-4CCE-8561-464CCB69D3BF}" name="Tota Orders"/>
    <tableColumn id="2" xr3:uid="{925E9DE2-36F6-477E-BA47-90702E1A62B2}" name="Average Order"/>
    <tableColumn id="3" xr3:uid="{ECAE7AFF-813C-4EEC-BCB3-F59B1B94B831}" name="Revenue">
      <calculatedColumnFormula>A21*B21</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20C7E66-40EC-4046-9796-865C6EDF0CFD}" name="Table13" displayName="Table13" ref="A1:B27" totalsRowShown="0">
  <autoFilter ref="A1:B27" xr:uid="{020C7E66-40EC-4046-9796-865C6EDF0CFD}"/>
  <tableColumns count="2">
    <tableColumn id="1" xr3:uid="{D047FA2D-93D7-4408-8A47-941CBB11E366}" name="Dates ( Weekly) " dataDxfId="4">
      <calculatedColumnFormula>A1+7</calculatedColumnFormula>
    </tableColumn>
    <tableColumn id="2" xr3:uid="{3D6B2BEB-ACA2-4465-BE36-74F58CC535AF}" name="Total Orders">
      <calculatedColumnFormula>COUNTIFS(Table5[OrderDate], "&gt;="&amp;A2,Table5[OrderDate], "&lt;"&amp;(A2+7))</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2"/>
  <sheetViews>
    <sheetView showGridLines="0" workbookViewId="0">
      <pane ySplit="3" topLeftCell="A77" activePane="bottomLeft" state="frozen"/>
      <selection pane="bottomLeft" activeCell="B85" sqref="B85"/>
    </sheetView>
  </sheetViews>
  <sheetFormatPr defaultRowHeight="14.4" x14ac:dyDescent="0.3"/>
  <cols>
    <col min="1" max="1" width="6" customWidth="1"/>
    <col min="2" max="2" width="118" customWidth="1"/>
  </cols>
  <sheetData>
    <row r="1" spans="1:2" ht="33.9" customHeight="1" x14ac:dyDescent="0.3">
      <c r="A1" s="1" cm="1">
        <f t="array" aca="1" ref="A1" ca="1">A1:B72</f>
        <v>0</v>
      </c>
      <c r="B1" s="2" t="s">
        <v>0</v>
      </c>
    </row>
    <row r="2" spans="1:2" ht="20.100000000000001" customHeight="1" x14ac:dyDescent="0.3">
      <c r="A2" s="1"/>
      <c r="B2" s="3" t="s">
        <v>1</v>
      </c>
    </row>
    <row r="3" spans="1:2" ht="8.1" customHeight="1" x14ac:dyDescent="0.3">
      <c r="B3" s="4"/>
    </row>
    <row r="4" spans="1:2" ht="20.100000000000001" customHeight="1" x14ac:dyDescent="0.3">
      <c r="B4" s="5" t="s">
        <v>2</v>
      </c>
    </row>
    <row r="5" spans="1:2" ht="33.9" customHeight="1" x14ac:dyDescent="0.3">
      <c r="B5" s="5" t="s">
        <v>3</v>
      </c>
    </row>
    <row r="6" spans="1:2" ht="20.100000000000001" customHeight="1" x14ac:dyDescent="0.3">
      <c r="B6" s="5" t="s">
        <v>4</v>
      </c>
    </row>
    <row r="7" spans="1:2" ht="20.100000000000001" customHeight="1" x14ac:dyDescent="0.3">
      <c r="B7" s="5" t="s">
        <v>1109</v>
      </c>
    </row>
    <row r="8" spans="1:2" ht="8.1" customHeight="1" x14ac:dyDescent="0.3">
      <c r="B8" s="4"/>
    </row>
    <row r="9" spans="1:2" ht="20.100000000000001" customHeight="1" x14ac:dyDescent="0.3">
      <c r="A9" s="6"/>
      <c r="B9" s="7" t="s">
        <v>5</v>
      </c>
    </row>
    <row r="10" spans="1:2" ht="33.9" customHeight="1" x14ac:dyDescent="0.3">
      <c r="A10" s="6"/>
      <c r="B10" s="7" t="s">
        <v>6</v>
      </c>
    </row>
    <row r="11" spans="1:2" ht="33.9" customHeight="1" x14ac:dyDescent="0.3">
      <c r="A11" s="6"/>
      <c r="B11" s="7" t="s">
        <v>7</v>
      </c>
    </row>
    <row r="12" spans="1:2" ht="8.1" customHeight="1" x14ac:dyDescent="0.3">
      <c r="B12" s="4"/>
    </row>
    <row r="13" spans="1:2" ht="33.9" customHeight="1" x14ac:dyDescent="0.3">
      <c r="B13" s="8" t="s">
        <v>8</v>
      </c>
    </row>
    <row r="14" spans="1:2" ht="20.100000000000001" customHeight="1" x14ac:dyDescent="0.3">
      <c r="B14" s="8" t="s">
        <v>9</v>
      </c>
    </row>
    <row r="15" spans="1:2" ht="20.100000000000001" customHeight="1" x14ac:dyDescent="0.3">
      <c r="B15" s="8" t="s">
        <v>10</v>
      </c>
    </row>
    <row r="16" spans="1:2" ht="8.1" customHeight="1" x14ac:dyDescent="0.3">
      <c r="B16" s="4"/>
    </row>
    <row r="17" spans="1:2" ht="21.9" customHeight="1" x14ac:dyDescent="0.3">
      <c r="A17" s="9"/>
      <c r="B17" s="10" t="s">
        <v>11</v>
      </c>
    </row>
    <row r="18" spans="1:2" ht="48" customHeight="1" x14ac:dyDescent="0.3">
      <c r="A18" s="11" t="s">
        <v>12</v>
      </c>
      <c r="B18" s="12" t="s">
        <v>13</v>
      </c>
    </row>
    <row r="19" spans="1:2" ht="8.1" customHeight="1" x14ac:dyDescent="0.3">
      <c r="B19" s="4"/>
    </row>
    <row r="20" spans="1:2" ht="21.9" customHeight="1" x14ac:dyDescent="0.3">
      <c r="A20" s="9"/>
      <c r="B20" s="10" t="s">
        <v>14</v>
      </c>
    </row>
    <row r="21" spans="1:2" ht="20.100000000000001" customHeight="1" x14ac:dyDescent="0.3">
      <c r="A21" s="11" t="s">
        <v>15</v>
      </c>
      <c r="B21" s="12" t="s">
        <v>16</v>
      </c>
    </row>
    <row r="22" spans="1:2" ht="20.100000000000001" customHeight="1" x14ac:dyDescent="0.3">
      <c r="A22" s="11" t="s">
        <v>17</v>
      </c>
      <c r="B22" s="12" t="s">
        <v>18</v>
      </c>
    </row>
    <row r="23" spans="1:2" ht="33.9" customHeight="1" x14ac:dyDescent="0.3">
      <c r="A23" s="11" t="s">
        <v>19</v>
      </c>
      <c r="B23" s="12" t="s">
        <v>20</v>
      </c>
    </row>
    <row r="24" spans="1:2" ht="20.100000000000001" customHeight="1" x14ac:dyDescent="0.3">
      <c r="A24" s="11" t="s">
        <v>21</v>
      </c>
      <c r="B24" s="12" t="s">
        <v>22</v>
      </c>
    </row>
    <row r="25" spans="1:2" ht="20.100000000000001" customHeight="1" x14ac:dyDescent="0.3">
      <c r="B25" s="13" t="s">
        <v>23</v>
      </c>
    </row>
    <row r="26" spans="1:2" ht="8.1" customHeight="1" x14ac:dyDescent="0.3">
      <c r="B26" s="4"/>
    </row>
    <row r="27" spans="1:2" ht="21.9" customHeight="1" x14ac:dyDescent="0.3">
      <c r="A27" s="9"/>
      <c r="B27" s="10" t="s">
        <v>24</v>
      </c>
    </row>
    <row r="28" spans="1:2" ht="33.9" customHeight="1" x14ac:dyDescent="0.3">
      <c r="A28" s="11" t="s">
        <v>25</v>
      </c>
      <c r="B28" s="12" t="s">
        <v>1110</v>
      </c>
    </row>
    <row r="29" spans="1:2" ht="33.9" customHeight="1" x14ac:dyDescent="0.3">
      <c r="A29" s="11" t="s">
        <v>26</v>
      </c>
      <c r="B29" s="12" t="s">
        <v>27</v>
      </c>
    </row>
    <row r="30" spans="1:2" ht="33.9" customHeight="1" x14ac:dyDescent="0.3">
      <c r="A30" s="11" t="s">
        <v>28</v>
      </c>
      <c r="B30" s="12" t="s">
        <v>1111</v>
      </c>
    </row>
    <row r="31" spans="1:2" ht="48" customHeight="1" x14ac:dyDescent="0.3">
      <c r="A31" s="11" t="s">
        <v>29</v>
      </c>
      <c r="B31" s="12" t="s">
        <v>30</v>
      </c>
    </row>
    <row r="32" spans="1:2" ht="48" customHeight="1" x14ac:dyDescent="0.3">
      <c r="A32" s="11" t="s">
        <v>31</v>
      </c>
      <c r="B32" s="12" t="s">
        <v>1112</v>
      </c>
    </row>
    <row r="33" spans="1:2" ht="33.9" customHeight="1" x14ac:dyDescent="0.3">
      <c r="A33" s="11" t="s">
        <v>32</v>
      </c>
      <c r="B33" s="12" t="s">
        <v>33</v>
      </c>
    </row>
    <row r="34" spans="1:2" ht="33.9" customHeight="1" x14ac:dyDescent="0.3">
      <c r="A34" s="11" t="s">
        <v>34</v>
      </c>
      <c r="B34" s="22" t="s">
        <v>1113</v>
      </c>
    </row>
    <row r="35" spans="1:2" ht="33.9" customHeight="1" x14ac:dyDescent="0.3">
      <c r="A35" s="11" t="s">
        <v>35</v>
      </c>
      <c r="B35" s="12" t="s">
        <v>36</v>
      </c>
    </row>
    <row r="36" spans="1:2" ht="33.9" customHeight="1" x14ac:dyDescent="0.3">
      <c r="A36" s="11" t="s">
        <v>37</v>
      </c>
      <c r="B36" s="12" t="s">
        <v>1114</v>
      </c>
    </row>
    <row r="37" spans="1:2" ht="33.9" customHeight="1" x14ac:dyDescent="0.3">
      <c r="A37" s="11" t="s">
        <v>38</v>
      </c>
      <c r="B37" s="12" t="s">
        <v>39</v>
      </c>
    </row>
    <row r="38" spans="1:2" ht="20.100000000000001" customHeight="1" x14ac:dyDescent="0.3">
      <c r="A38" s="11" t="s">
        <v>40</v>
      </c>
      <c r="B38" s="12" t="s">
        <v>41</v>
      </c>
    </row>
    <row r="39" spans="1:2" ht="33.9" customHeight="1" x14ac:dyDescent="0.3">
      <c r="A39" s="11" t="s">
        <v>42</v>
      </c>
      <c r="B39" s="12" t="s">
        <v>43</v>
      </c>
    </row>
    <row r="40" spans="1:2" ht="8.1" customHeight="1" x14ac:dyDescent="0.3">
      <c r="B40" s="4"/>
    </row>
    <row r="41" spans="1:2" ht="21.9" customHeight="1" x14ac:dyDescent="0.3">
      <c r="A41" s="9"/>
      <c r="B41" s="10" t="s">
        <v>44</v>
      </c>
    </row>
    <row r="42" spans="1:2" ht="33.9" customHeight="1" x14ac:dyDescent="0.3">
      <c r="A42" s="11" t="s">
        <v>45</v>
      </c>
      <c r="B42" s="12" t="s">
        <v>1115</v>
      </c>
    </row>
    <row r="43" spans="1:2" ht="20.100000000000001" customHeight="1" x14ac:dyDescent="0.3">
      <c r="A43" s="11" t="s">
        <v>46</v>
      </c>
      <c r="B43" s="22" t="s">
        <v>47</v>
      </c>
    </row>
    <row r="44" spans="1:2" ht="20.100000000000001" customHeight="1" x14ac:dyDescent="0.3">
      <c r="A44" s="11" t="s">
        <v>48</v>
      </c>
      <c r="B44" s="12" t="s">
        <v>49</v>
      </c>
    </row>
    <row r="45" spans="1:2" ht="48" customHeight="1" x14ac:dyDescent="0.3">
      <c r="A45" s="11" t="s">
        <v>50</v>
      </c>
      <c r="B45" s="12" t="s">
        <v>1116</v>
      </c>
    </row>
    <row r="46" spans="1:2" ht="20.100000000000001" customHeight="1" x14ac:dyDescent="0.3">
      <c r="A46" s="11" t="s">
        <v>51</v>
      </c>
      <c r="B46" s="12" t="s">
        <v>52</v>
      </c>
    </row>
    <row r="47" spans="1:2" ht="48" customHeight="1" x14ac:dyDescent="0.3">
      <c r="A47" s="11" t="s">
        <v>53</v>
      </c>
      <c r="B47" s="12" t="s">
        <v>1117</v>
      </c>
    </row>
    <row r="48" spans="1:2" ht="33.9" customHeight="1" x14ac:dyDescent="0.3">
      <c r="A48" s="11" t="s">
        <v>54</v>
      </c>
      <c r="B48" s="12" t="s">
        <v>55</v>
      </c>
    </row>
    <row r="49" spans="1:2" ht="33.9" customHeight="1" x14ac:dyDescent="0.3">
      <c r="A49" s="11" t="s">
        <v>56</v>
      </c>
      <c r="B49" s="22" t="s">
        <v>57</v>
      </c>
    </row>
    <row r="50" spans="1:2" ht="20.100000000000001" customHeight="1" x14ac:dyDescent="0.3">
      <c r="A50" s="11" t="s">
        <v>58</v>
      </c>
      <c r="B50" s="12" t="s">
        <v>59</v>
      </c>
    </row>
    <row r="51" spans="1:2" ht="33.9" customHeight="1" x14ac:dyDescent="0.3">
      <c r="A51" s="11" t="s">
        <v>60</v>
      </c>
      <c r="B51" s="22" t="s">
        <v>1118</v>
      </c>
    </row>
    <row r="52" spans="1:2" ht="33.9" customHeight="1" x14ac:dyDescent="0.3">
      <c r="A52" s="11" t="s">
        <v>61</v>
      </c>
      <c r="B52" s="22" t="s">
        <v>62</v>
      </c>
    </row>
    <row r="53" spans="1:2" ht="33.9" customHeight="1" x14ac:dyDescent="0.3">
      <c r="A53" s="11" t="s">
        <v>63</v>
      </c>
      <c r="B53" s="22" t="s">
        <v>64</v>
      </c>
    </row>
    <row r="54" spans="1:2" ht="8.1" customHeight="1" x14ac:dyDescent="0.3">
      <c r="B54" s="4"/>
    </row>
    <row r="55" spans="1:2" ht="21.9" customHeight="1" x14ac:dyDescent="0.3">
      <c r="A55" s="9"/>
      <c r="B55" s="10" t="s">
        <v>65</v>
      </c>
    </row>
    <row r="56" spans="1:2" ht="33.9" customHeight="1" x14ac:dyDescent="0.3">
      <c r="A56" s="11" t="s">
        <v>66</v>
      </c>
      <c r="B56" s="12" t="s">
        <v>67</v>
      </c>
    </row>
    <row r="57" spans="1:2" ht="33.9" customHeight="1" x14ac:dyDescent="0.3">
      <c r="A57" s="11" t="s">
        <v>68</v>
      </c>
      <c r="B57" s="12" t="s">
        <v>69</v>
      </c>
    </row>
    <row r="58" spans="1:2" ht="33.9" customHeight="1" x14ac:dyDescent="0.3">
      <c r="A58" s="11" t="s">
        <v>70</v>
      </c>
      <c r="B58" s="12" t="s">
        <v>71</v>
      </c>
    </row>
    <row r="59" spans="1:2" ht="33.9" customHeight="1" x14ac:dyDescent="0.3">
      <c r="A59" s="11" t="s">
        <v>72</v>
      </c>
      <c r="B59" s="22" t="s">
        <v>73</v>
      </c>
    </row>
    <row r="60" spans="1:2" ht="8.1" customHeight="1" x14ac:dyDescent="0.3">
      <c r="B60" s="4"/>
    </row>
    <row r="61" spans="1:2" ht="21.9" customHeight="1" x14ac:dyDescent="0.3">
      <c r="A61" s="9"/>
      <c r="B61" s="10" t="s">
        <v>74</v>
      </c>
    </row>
    <row r="62" spans="1:2" ht="48" customHeight="1" x14ac:dyDescent="0.3">
      <c r="A62" s="11" t="s">
        <v>75</v>
      </c>
      <c r="B62" s="12" t="s">
        <v>76</v>
      </c>
    </row>
    <row r="63" spans="1:2" ht="33.9" customHeight="1" x14ac:dyDescent="0.3">
      <c r="A63" s="11" t="s">
        <v>77</v>
      </c>
      <c r="B63" s="12" t="s">
        <v>78</v>
      </c>
    </row>
    <row r="64" spans="1:2" ht="33.9" customHeight="1" x14ac:dyDescent="0.3">
      <c r="A64" s="11" t="s">
        <v>79</v>
      </c>
      <c r="B64" s="12" t="s">
        <v>80</v>
      </c>
    </row>
    <row r="65" spans="1:2" ht="33.9" customHeight="1" x14ac:dyDescent="0.3">
      <c r="A65" s="11" t="s">
        <v>81</v>
      </c>
      <c r="B65" s="12" t="s">
        <v>82</v>
      </c>
    </row>
    <row r="66" spans="1:2" ht="8.1" customHeight="1" x14ac:dyDescent="0.3">
      <c r="B66" s="4"/>
    </row>
    <row r="67" spans="1:2" ht="21.9" customHeight="1" x14ac:dyDescent="0.3">
      <c r="A67" s="9"/>
      <c r="B67" s="10" t="s">
        <v>83</v>
      </c>
    </row>
    <row r="68" spans="1:2" ht="20.100000000000001" customHeight="1" x14ac:dyDescent="0.3">
      <c r="A68" s="11" t="s">
        <v>84</v>
      </c>
      <c r="B68" s="12" t="s">
        <v>85</v>
      </c>
    </row>
    <row r="69" spans="1:2" ht="33.9" customHeight="1" x14ac:dyDescent="0.3">
      <c r="A69" s="11" t="s">
        <v>86</v>
      </c>
      <c r="B69" s="12" t="s">
        <v>87</v>
      </c>
    </row>
    <row r="70" spans="1:2" ht="33.9" customHeight="1" x14ac:dyDescent="0.3">
      <c r="A70" s="11" t="s">
        <v>88</v>
      </c>
      <c r="B70" s="12" t="s">
        <v>1119</v>
      </c>
    </row>
    <row r="71" spans="1:2" ht="33.9" customHeight="1" x14ac:dyDescent="0.3">
      <c r="A71" s="11" t="s">
        <v>89</v>
      </c>
      <c r="B71" s="12" t="s">
        <v>90</v>
      </c>
    </row>
    <row r="72" spans="1:2" ht="8.1" customHeight="1" x14ac:dyDescent="0.3">
      <c r="B72" s="4"/>
    </row>
    <row r="73" spans="1:2" ht="21.9" customHeight="1" x14ac:dyDescent="0.3">
      <c r="A73" s="9"/>
      <c r="B73" s="10" t="s">
        <v>91</v>
      </c>
    </row>
    <row r="74" spans="1:2" ht="33.9" customHeight="1" x14ac:dyDescent="0.3">
      <c r="A74" s="11" t="s">
        <v>92</v>
      </c>
      <c r="B74" s="22" t="s">
        <v>93</v>
      </c>
    </row>
    <row r="75" spans="1:2" ht="33.9" customHeight="1" x14ac:dyDescent="0.3">
      <c r="A75" s="11" t="s">
        <v>94</v>
      </c>
      <c r="B75" s="12" t="s">
        <v>95</v>
      </c>
    </row>
    <row r="76" spans="1:2" ht="33.9" customHeight="1" x14ac:dyDescent="0.3">
      <c r="A76" s="11" t="s">
        <v>96</v>
      </c>
      <c r="B76" s="12" t="s">
        <v>97</v>
      </c>
    </row>
    <row r="77" spans="1:2" ht="8.1" customHeight="1" x14ac:dyDescent="0.3">
      <c r="B77" s="4"/>
    </row>
    <row r="78" spans="1:2" ht="21.9" customHeight="1" x14ac:dyDescent="0.3">
      <c r="A78" s="9"/>
      <c r="B78" s="10" t="s">
        <v>98</v>
      </c>
    </row>
    <row r="79" spans="1:2" ht="33.9" customHeight="1" x14ac:dyDescent="0.3">
      <c r="A79" s="11" t="s">
        <v>99</v>
      </c>
      <c r="B79" s="12" t="s">
        <v>100</v>
      </c>
    </row>
    <row r="80" spans="1:2" ht="33.9" customHeight="1" x14ac:dyDescent="0.3">
      <c r="A80" s="11" t="s">
        <v>101</v>
      </c>
      <c r="B80" s="12" t="s">
        <v>102</v>
      </c>
    </row>
    <row r="81" spans="2:2" ht="8.1" customHeight="1" x14ac:dyDescent="0.3">
      <c r="B81" s="4"/>
    </row>
    <row r="82" spans="2:2" ht="33.9" customHeight="1" x14ac:dyDescent="0.3">
      <c r="B82" s="13" t="s">
        <v>1120</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D96B2-26A7-4C59-9220-CC739CDD9E42}">
  <dimension ref="A1:AD334"/>
  <sheetViews>
    <sheetView topLeftCell="J1" workbookViewId="0">
      <pane ySplit="1" topLeftCell="A14" activePane="bottomLeft" state="frozen"/>
      <selection pane="bottomLeft" activeCell="C2" sqref="C2"/>
    </sheetView>
  </sheetViews>
  <sheetFormatPr defaultRowHeight="14.4" x14ac:dyDescent="0.3"/>
  <cols>
    <col min="1" max="1" width="10.44140625" customWidth="1"/>
    <col min="2" max="2" width="35.6640625" bestFit="1" customWidth="1"/>
    <col min="3" max="3" width="23.44140625" bestFit="1" customWidth="1"/>
    <col min="4" max="4" width="18.6640625" customWidth="1"/>
    <col min="5" max="5" width="23.6640625" customWidth="1"/>
    <col min="6" max="6" width="17.88671875" customWidth="1"/>
    <col min="7" max="7" width="13.5546875" bestFit="1" customWidth="1"/>
    <col min="8" max="8" width="23.44140625" bestFit="1" customWidth="1"/>
    <col min="9" max="9" width="16.109375" customWidth="1"/>
    <col min="10" max="10" width="27" bestFit="1" customWidth="1"/>
    <col min="11" max="11" width="11.109375" customWidth="1"/>
    <col min="12" max="12" width="10.109375" customWidth="1"/>
    <col min="13" max="13" width="18.77734375" customWidth="1"/>
    <col min="14" max="14" width="14.44140625" customWidth="1"/>
    <col min="15" max="15" width="14.5546875" customWidth="1"/>
    <col min="16" max="16" width="16.88671875" customWidth="1"/>
    <col min="17" max="17" width="18.6640625" customWidth="1"/>
    <col min="18" max="18" width="26.44140625" customWidth="1"/>
    <col min="19" max="19" width="28.33203125" bestFit="1" customWidth="1"/>
    <col min="20" max="20" width="47.109375" bestFit="1" customWidth="1"/>
    <col min="21" max="21" width="12.33203125" bestFit="1" customWidth="1"/>
    <col min="22" max="22" width="14.6640625" bestFit="1" customWidth="1"/>
    <col min="23" max="23" width="10.44140625" bestFit="1" customWidth="1"/>
    <col min="24" max="24" width="13.109375" bestFit="1" customWidth="1"/>
    <col min="25" max="25" width="12.44140625" bestFit="1" customWidth="1"/>
    <col min="26" max="26" width="12.44140625" customWidth="1"/>
    <col min="27" max="27" width="13.109375" bestFit="1" customWidth="1"/>
    <col min="28" max="28" width="10.6640625" bestFit="1" customWidth="1"/>
    <col min="30" max="30" width="16.77734375" bestFit="1" customWidth="1"/>
  </cols>
  <sheetData>
    <row r="1" spans="1:30" ht="30" customHeight="1" x14ac:dyDescent="0.3">
      <c r="A1" s="14" t="s">
        <v>103</v>
      </c>
      <c r="B1" s="14" t="s">
        <v>104</v>
      </c>
      <c r="C1" s="21" t="s">
        <v>1291</v>
      </c>
      <c r="D1" s="21" t="s">
        <v>1292</v>
      </c>
      <c r="E1" s="14" t="s">
        <v>107</v>
      </c>
      <c r="F1" s="21" t="s">
        <v>1289</v>
      </c>
      <c r="G1" s="14" t="s">
        <v>108</v>
      </c>
      <c r="H1" s="21" t="s">
        <v>1293</v>
      </c>
      <c r="I1" s="21" t="s">
        <v>110</v>
      </c>
      <c r="J1" s="14" t="s">
        <v>111</v>
      </c>
      <c r="K1" s="14" t="s">
        <v>112</v>
      </c>
      <c r="L1" s="14" t="s">
        <v>113</v>
      </c>
      <c r="M1" s="14" t="s">
        <v>114</v>
      </c>
      <c r="N1" s="14" t="s">
        <v>115</v>
      </c>
      <c r="O1" s="14" t="s">
        <v>116</v>
      </c>
      <c r="P1" s="21" t="s">
        <v>1288</v>
      </c>
      <c r="Q1" s="14" t="s">
        <v>117</v>
      </c>
      <c r="R1" s="14" t="s">
        <v>118</v>
      </c>
      <c r="S1" s="14" t="s">
        <v>119</v>
      </c>
      <c r="T1" s="24" t="s">
        <v>1290</v>
      </c>
      <c r="U1" s="24" t="s">
        <v>1294</v>
      </c>
      <c r="V1" s="24" t="s">
        <v>1295</v>
      </c>
      <c r="W1" s="24" t="s">
        <v>1303</v>
      </c>
      <c r="X1" s="24" t="s">
        <v>1304</v>
      </c>
      <c r="Y1" s="24" t="s">
        <v>1305</v>
      </c>
      <c r="Z1" s="24" t="s">
        <v>1308</v>
      </c>
      <c r="AA1" s="24" t="s">
        <v>1306</v>
      </c>
      <c r="AB1" s="24" t="s">
        <v>1307</v>
      </c>
      <c r="AC1" s="24" t="s">
        <v>1309</v>
      </c>
      <c r="AD1" s="24" t="s">
        <v>1314</v>
      </c>
    </row>
    <row r="2" spans="1:30" x14ac:dyDescent="0.3">
      <c r="A2" s="28" t="s">
        <v>794</v>
      </c>
      <c r="B2" s="27">
        <v>45871</v>
      </c>
      <c r="C2" s="28" t="s">
        <v>1148</v>
      </c>
      <c r="D2" s="28" t="s">
        <v>1266</v>
      </c>
      <c r="E2" s="27">
        <v>45827</v>
      </c>
      <c r="F2" s="27" t="str">
        <f t="shared" ref="F2:F65" si="0">IF(B2-E2&lt;=2,"New","Returning")</f>
        <v>Returning</v>
      </c>
      <c r="G2" s="28" t="s">
        <v>198</v>
      </c>
      <c r="H2" s="28" t="s">
        <v>216</v>
      </c>
      <c r="I2" s="28" t="s">
        <v>125</v>
      </c>
      <c r="J2" s="28" t="s">
        <v>217</v>
      </c>
      <c r="K2" s="29">
        <v>1</v>
      </c>
      <c r="L2" s="28" t="s">
        <v>201</v>
      </c>
      <c r="M2" s="28" t="s">
        <v>159</v>
      </c>
      <c r="N2" s="28"/>
      <c r="O2" s="28" t="s">
        <v>130</v>
      </c>
      <c r="P2" s="28" t="str">
        <f t="shared" ref="P2:P65" si="1">IF(O2=""," NEED REVIEW","")</f>
        <v/>
      </c>
      <c r="Q2" s="29">
        <v>4</v>
      </c>
      <c r="R2" s="29">
        <v>36</v>
      </c>
      <c r="S2" s="28"/>
      <c r="T2" s="30" t="str">
        <f>_xlfn.CONCAT(Table5[[#This Row],[OrderID]]," | ",Table5[[#This Row],[City]]," | ",Table5[[#This Row],[ItemName]])</f>
        <v>ORD-1001 | Lalitpur | Chatamari</v>
      </c>
      <c r="U2" s="30" t="str">
        <f>UPPER(Table5[[#This Row],[City]])</f>
        <v>LALITPUR</v>
      </c>
      <c r="V2" s="30" t="str">
        <f>LOWER(Table5[[#This Row],[PaymentMethod]])</f>
        <v>khalti</v>
      </c>
      <c r="W2" s="30" cm="1">
        <f t="array" ref="W2">_xlfn.XLOOKUP(TRIM(Table5[[#This Row],[ItemName]]), TRIM(Menu_Price_List_tbl[ItemName]),Menu_Price_List_tbl[UnitPrice_NPR])</f>
        <v>210</v>
      </c>
      <c r="X2" s="31">
        <f t="shared" ref="X2:X65" si="2">W2*K2</f>
        <v>210</v>
      </c>
      <c r="Y2" s="30">
        <f>_xlfn.XLOOKUP(Table5[[#This Row],[City]],City_Delivery_Fee_tbl[City],City_Delivery_Fee_tbl[BaseDeliveryFee_NPR])</f>
        <v>50</v>
      </c>
      <c r="Z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 s="31">
        <f>Table5[[#This Row],[Order Amount]]+Table5[[#This Row],[Delivery Fee]]-Table5[[#This Row],[Discount Amount]]</f>
        <v>260</v>
      </c>
      <c r="AB2" s="30" t="str">
        <f>_xlfn.XLOOKUP(Table5[[#This Row],[RiderID]], Rider_Directory!$F$2:$F$26, Rider_Directory!$B$2:$B$26)</f>
        <v>Lalitpur</v>
      </c>
      <c r="AC2" s="30" t="str" cm="1">
        <f t="array" ref="AC2">_xlfn.IFS(Table5[[#This Row],[Final Amount]]&lt;500, "Small", Table5[[#This Row],[Final Amount]]&lt;=1000, "Medium", Table5[[#This Row],[Final Amount]]&gt;1000, "Large")</f>
        <v>Small</v>
      </c>
      <c r="AD2" s="30" t="str">
        <f>_xlfn.LET(_xlpm.expiry,_xlfn.XLOOKUP(Table5[[#This Row],[PromoCode]],Promo_Codes!$A$2:$A$9,Promo_Codes!$F$2:$F$9,DATE(2099,1,1)),IF(Table5[[#This Row],[OrderDate]]&gt;_xlpm.expiry,"Expired Code Used","Valid"))</f>
        <v>Valid</v>
      </c>
    </row>
    <row r="3" spans="1:30" x14ac:dyDescent="0.3">
      <c r="A3" s="28" t="s">
        <v>913</v>
      </c>
      <c r="B3" s="27">
        <v>45871</v>
      </c>
      <c r="C3" s="28" t="s">
        <v>921</v>
      </c>
      <c r="D3" s="28" t="s">
        <v>1278</v>
      </c>
      <c r="E3" s="27">
        <v>45871</v>
      </c>
      <c r="F3" s="27" t="str">
        <f t="shared" si="0"/>
        <v>New</v>
      </c>
      <c r="G3" s="28" t="s">
        <v>145</v>
      </c>
      <c r="H3" s="28" t="s">
        <v>199</v>
      </c>
      <c r="I3" s="28" t="s">
        <v>179</v>
      </c>
      <c r="J3" s="28" t="s">
        <v>916</v>
      </c>
      <c r="K3" s="29">
        <v>1</v>
      </c>
      <c r="L3" s="28" t="s">
        <v>307</v>
      </c>
      <c r="M3" s="28" t="s">
        <v>128</v>
      </c>
      <c r="N3" s="28"/>
      <c r="O3" s="28" t="s">
        <v>279</v>
      </c>
      <c r="P3" s="28" t="str">
        <f t="shared" si="1"/>
        <v/>
      </c>
      <c r="Q3" s="28"/>
      <c r="R3" s="29">
        <v>41</v>
      </c>
      <c r="S3" s="28"/>
      <c r="T3" s="30" t="str">
        <f>_xlfn.CONCAT(Table5[[#This Row],[OrderID]]," | ",Table5[[#This Row],[City]]," | ",Table5[[#This Row],[ItemName]])</f>
        <v xml:space="preserve">ORD-1002 | Chitwan | French Fries  </v>
      </c>
      <c r="U3" s="30" t="str">
        <f>UPPER(Table5[[#This Row],[City]])</f>
        <v>CHITWAN</v>
      </c>
      <c r="V3" s="30" t="str">
        <f>LOWER(Table5[[#This Row],[PaymentMethod]])</f>
        <v>esewa</v>
      </c>
      <c r="W3" s="30" cm="1">
        <f t="array" ref="W3">_xlfn.XLOOKUP(TRIM(Table5[[#This Row],[ItemName]]), TRIM(Menu_Price_List_tbl[ItemName]),Menu_Price_List_tbl[UnitPrice_NPR])</f>
        <v>160</v>
      </c>
      <c r="X3" s="31">
        <f t="shared" si="2"/>
        <v>160</v>
      </c>
      <c r="Y3" s="30">
        <f>_xlfn.XLOOKUP(Table5[[#This Row],[City]],City_Delivery_Fee_tbl[City],City_Delivery_Fee_tbl[BaseDeliveryFee_NPR])</f>
        <v>80</v>
      </c>
      <c r="Z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 s="31">
        <f>Table5[[#This Row],[Order Amount]]+Table5[[#This Row],[Delivery Fee]]-Table5[[#This Row],[Discount Amount]]</f>
        <v>240</v>
      </c>
      <c r="AB3" s="30" t="str">
        <f>_xlfn.XLOOKUP(Table5[[#This Row],[RiderID]], Rider_Directory!$F$2:$F$26, Rider_Directory!$B$2:$B$26)</f>
        <v>Chitwan</v>
      </c>
      <c r="AC3" s="30" t="str" cm="1">
        <f t="array" ref="AC3">_xlfn.IFS(Table5[[#This Row],[Final Amount]]&lt;500, "Small", Table5[[#This Row],[Final Amount]]&lt;=1000, "Medium", Table5[[#This Row],[Final Amount]]&gt;1000, "Large")</f>
        <v>Small</v>
      </c>
      <c r="AD3" s="30" t="str">
        <f>_xlfn.LET(_xlpm.expiry,_xlfn.XLOOKUP(Table5[[#This Row],[PromoCode]],Promo_Codes!$A$2:$A$9,Promo_Codes!$F$2:$F$9,DATE(2099,1,1)),IF(Table5[[#This Row],[OrderDate]]&gt;_xlpm.expiry,"Expired Code Used","Valid"))</f>
        <v>Valid</v>
      </c>
    </row>
    <row r="4" spans="1:30" x14ac:dyDescent="0.3">
      <c r="A4" s="28" t="s">
        <v>646</v>
      </c>
      <c r="B4" s="27">
        <v>45872</v>
      </c>
      <c r="C4" s="28" t="s">
        <v>416</v>
      </c>
      <c r="D4" s="28" t="s">
        <v>1205</v>
      </c>
      <c r="E4" s="27">
        <v>45871</v>
      </c>
      <c r="F4" s="27" t="str">
        <f t="shared" si="0"/>
        <v>New</v>
      </c>
      <c r="G4" s="28" t="s">
        <v>198</v>
      </c>
      <c r="H4" s="28" t="s">
        <v>216</v>
      </c>
      <c r="I4" s="28" t="s">
        <v>125</v>
      </c>
      <c r="J4" s="28" t="s">
        <v>295</v>
      </c>
      <c r="K4" s="29">
        <v>3</v>
      </c>
      <c r="L4" s="28" t="s">
        <v>213</v>
      </c>
      <c r="M4" s="28" t="s">
        <v>159</v>
      </c>
      <c r="N4" s="28"/>
      <c r="O4" s="28" t="s">
        <v>130</v>
      </c>
      <c r="P4" s="28" t="str">
        <f t="shared" si="1"/>
        <v/>
      </c>
      <c r="Q4" s="29">
        <v>4</v>
      </c>
      <c r="R4" s="29">
        <v>36</v>
      </c>
      <c r="S4" s="28"/>
      <c r="T4" s="30" t="str">
        <f>_xlfn.CONCAT(Table5[[#This Row],[OrderID]]," | ",Table5[[#This Row],[City]]," | ",Table5[[#This Row],[ItemName]])</f>
        <v>ORD-1003 | Lalitpur | Sukuti Sandheko</v>
      </c>
      <c r="U4" s="30" t="str">
        <f>UPPER(Table5[[#This Row],[City]])</f>
        <v>LALITPUR</v>
      </c>
      <c r="V4" s="30" t="str">
        <f>LOWER(Table5[[#This Row],[PaymentMethod]])</f>
        <v>khalti</v>
      </c>
      <c r="W4" s="30" cm="1">
        <f t="array" ref="W4">_xlfn.XLOOKUP(TRIM(Table5[[#This Row],[ItemName]]), TRIM(Menu_Price_List_tbl[ItemName]),Menu_Price_List_tbl[UnitPrice_NPR])</f>
        <v>350</v>
      </c>
      <c r="X4" s="31">
        <f t="shared" si="2"/>
        <v>1050</v>
      </c>
      <c r="Y4" s="30">
        <f>_xlfn.XLOOKUP(Table5[[#This Row],[City]],City_Delivery_Fee_tbl[City],City_Delivery_Fee_tbl[BaseDeliveryFee_NPR])</f>
        <v>50</v>
      </c>
      <c r="Z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4" s="31">
        <f>Table5[[#This Row],[Order Amount]]+Table5[[#This Row],[Delivery Fee]]-Table5[[#This Row],[Discount Amount]]</f>
        <v>1100</v>
      </c>
      <c r="AB4" s="30" t="str">
        <f>_xlfn.XLOOKUP(Table5[[#This Row],[RiderID]], Rider_Directory!$F$2:$F$26, Rider_Directory!$B$2:$B$26)</f>
        <v>Lalitpur</v>
      </c>
      <c r="AC4" s="30" t="str" cm="1">
        <f t="array" ref="AC4">_xlfn.IFS(Table5[[#This Row],[Final Amount]]&lt;500, "Small", Table5[[#This Row],[Final Amount]]&lt;=1000, "Medium", Table5[[#This Row],[Final Amount]]&gt;1000, "Large")</f>
        <v>Large</v>
      </c>
      <c r="AD4" s="30" t="str">
        <f>_xlfn.LET(_xlpm.expiry,_xlfn.XLOOKUP(Table5[[#This Row],[PromoCode]],Promo_Codes!$A$2:$A$9,Promo_Codes!$F$2:$F$9,DATE(2099,1,1)),IF(Table5[[#This Row],[OrderDate]]&gt;_xlpm.expiry,"Expired Code Used","Valid"))</f>
        <v>Valid</v>
      </c>
    </row>
    <row r="5" spans="1:30" x14ac:dyDescent="0.3">
      <c r="A5" s="28" t="s">
        <v>843</v>
      </c>
      <c r="B5" s="27">
        <v>45872</v>
      </c>
      <c r="C5" s="28" t="s">
        <v>458</v>
      </c>
      <c r="D5" s="28" t="s">
        <v>1196</v>
      </c>
      <c r="E5" s="27">
        <v>45871</v>
      </c>
      <c r="F5" s="27" t="str">
        <f t="shared" si="0"/>
        <v>New</v>
      </c>
      <c r="G5" s="28" t="s">
        <v>135</v>
      </c>
      <c r="H5" s="28" t="s">
        <v>350</v>
      </c>
      <c r="I5" s="28" t="s">
        <v>351</v>
      </c>
      <c r="J5" s="28" t="s">
        <v>352</v>
      </c>
      <c r="K5" s="29">
        <v>2</v>
      </c>
      <c r="L5" s="28" t="s">
        <v>265</v>
      </c>
      <c r="M5" s="28" t="s">
        <v>128</v>
      </c>
      <c r="N5" s="28" t="s">
        <v>240</v>
      </c>
      <c r="O5" s="28" t="s">
        <v>130</v>
      </c>
      <c r="P5" s="28" t="str">
        <f t="shared" si="1"/>
        <v/>
      </c>
      <c r="Q5" s="29">
        <v>4</v>
      </c>
      <c r="R5" s="29">
        <v>27</v>
      </c>
      <c r="S5" s="28" t="s">
        <v>291</v>
      </c>
      <c r="T5" s="30" t="str">
        <f>_xlfn.CONCAT(Table5[[#This Row],[OrderID]]," | ",Table5[[#This Row],[City]]," | ",Table5[[#This Row],[ItemName]])</f>
        <v>ORD-1004 | Kathmandu | Buff Sekuwa</v>
      </c>
      <c r="U5" s="30" t="str">
        <f>UPPER(Table5[[#This Row],[City]])</f>
        <v>KATHMANDU</v>
      </c>
      <c r="V5" s="30" t="str">
        <f>LOWER(Table5[[#This Row],[PaymentMethod]])</f>
        <v>esewa</v>
      </c>
      <c r="W5" s="30" cm="1">
        <f t="array" ref="W5">_xlfn.XLOOKUP(TRIM(Table5[[#This Row],[ItemName]]), TRIM(Menu_Price_List_tbl[ItemName]),Menu_Price_List_tbl[UnitPrice_NPR])</f>
        <v>380</v>
      </c>
      <c r="X5" s="31">
        <f t="shared" si="2"/>
        <v>760</v>
      </c>
      <c r="Y5" s="30">
        <f>_xlfn.XLOOKUP(Table5[[#This Row],[City]],City_Delivery_Fee_tbl[City],City_Delivery_Fee_tbl[BaseDeliveryFee_NPR])</f>
        <v>50</v>
      </c>
      <c r="Z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152</v>
      </c>
      <c r="AA5" s="31">
        <f>Table5[[#This Row],[Order Amount]]+Table5[[#This Row],[Delivery Fee]]-Table5[[#This Row],[Discount Amount]]</f>
        <v>658</v>
      </c>
      <c r="AB5" s="30" t="str">
        <f>_xlfn.XLOOKUP(Table5[[#This Row],[RiderID]], Rider_Directory!$F$2:$F$26, Rider_Directory!$B$2:$B$26)</f>
        <v>Kathmandu</v>
      </c>
      <c r="AC5" s="30" t="str" cm="1">
        <f t="array" ref="AC5">_xlfn.IFS(Table5[[#This Row],[Final Amount]]&lt;500, "Small", Table5[[#This Row],[Final Amount]]&lt;=1000, "Medium", Table5[[#This Row],[Final Amount]]&gt;1000, "Large")</f>
        <v>Medium</v>
      </c>
      <c r="AD5" s="30" t="str">
        <f>_xlfn.LET(_xlpm.expiry,_xlfn.XLOOKUP(Table5[[#This Row],[PromoCode]],Promo_Codes!$A$2:$A$9,Promo_Codes!$F$2:$F$9,DATE(2099,1,1)),IF(Table5[[#This Row],[OrderDate]]&gt;_xlpm.expiry,"Expired Code Used","Valid"))</f>
        <v>Valid</v>
      </c>
    </row>
    <row r="6" spans="1:30" x14ac:dyDescent="0.3">
      <c r="A6" s="28" t="s">
        <v>270</v>
      </c>
      <c r="B6" s="27">
        <v>45875</v>
      </c>
      <c r="C6" s="28" t="s">
        <v>626</v>
      </c>
      <c r="D6" s="28" t="s">
        <v>1181</v>
      </c>
      <c r="E6" s="27">
        <v>45873</v>
      </c>
      <c r="F6" s="27" t="str">
        <f t="shared" si="0"/>
        <v>New</v>
      </c>
      <c r="G6" s="28" t="s">
        <v>135</v>
      </c>
      <c r="H6" s="28" t="s">
        <v>216</v>
      </c>
      <c r="I6" s="28" t="s">
        <v>125</v>
      </c>
      <c r="J6" s="28" t="s">
        <v>126</v>
      </c>
      <c r="K6" s="29">
        <v>1</v>
      </c>
      <c r="L6" s="28" t="s">
        <v>139</v>
      </c>
      <c r="M6" s="28" t="s">
        <v>247</v>
      </c>
      <c r="N6" s="28"/>
      <c r="O6" s="28" t="s">
        <v>130</v>
      </c>
      <c r="P6" s="28" t="str">
        <f t="shared" si="1"/>
        <v/>
      </c>
      <c r="Q6" s="29">
        <v>4</v>
      </c>
      <c r="R6" s="29">
        <v>25</v>
      </c>
      <c r="S6" s="28"/>
      <c r="T6" s="30" t="str">
        <f>_xlfn.CONCAT(Table5[[#This Row],[OrderID]]," | ",Table5[[#This Row],[City]]," | ",Table5[[#This Row],[ItemName]])</f>
        <v>ORD-1005 | Kathmandu | Bara</v>
      </c>
      <c r="U6" s="30" t="str">
        <f>UPPER(Table5[[#This Row],[City]])</f>
        <v>KATHMANDU</v>
      </c>
      <c r="V6" s="30" t="str">
        <f>LOWER(Table5[[#This Row],[PaymentMethod]])</f>
        <v>ime pay</v>
      </c>
      <c r="W6" s="30" cm="1">
        <f t="array" ref="W6">_xlfn.XLOOKUP(TRIM(Table5[[#This Row],[ItemName]]), TRIM(Menu_Price_List_tbl[ItemName]),Menu_Price_List_tbl[UnitPrice_NPR])</f>
        <v>160</v>
      </c>
      <c r="X6" s="31">
        <f t="shared" si="2"/>
        <v>160</v>
      </c>
      <c r="Y6" s="30">
        <f>_xlfn.XLOOKUP(Table5[[#This Row],[City]],City_Delivery_Fee_tbl[City],City_Delivery_Fee_tbl[BaseDeliveryFee_NPR])</f>
        <v>50</v>
      </c>
      <c r="Z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6" s="31">
        <f>Table5[[#This Row],[Order Amount]]+Table5[[#This Row],[Delivery Fee]]-Table5[[#This Row],[Discount Amount]]</f>
        <v>210</v>
      </c>
      <c r="AB6" s="30" t="str">
        <f>_xlfn.XLOOKUP(Table5[[#This Row],[RiderID]], Rider_Directory!$F$2:$F$26, Rider_Directory!$B$2:$B$26)</f>
        <v>Kathmandu</v>
      </c>
      <c r="AC6" s="30" t="str" cm="1">
        <f t="array" ref="AC6">_xlfn.IFS(Table5[[#This Row],[Final Amount]]&lt;500, "Small", Table5[[#This Row],[Final Amount]]&lt;=1000, "Medium", Table5[[#This Row],[Final Amount]]&gt;1000, "Large")</f>
        <v>Small</v>
      </c>
      <c r="AD6" s="30" t="str">
        <f>_xlfn.LET(_xlpm.expiry,_xlfn.XLOOKUP(Table5[[#This Row],[PromoCode]],Promo_Codes!$A$2:$A$9,Promo_Codes!$F$2:$F$9,DATE(2099,1,1)),IF(Table5[[#This Row],[OrderDate]]&gt;_xlpm.expiry,"Expired Code Used","Valid"))</f>
        <v>Valid</v>
      </c>
    </row>
    <row r="7" spans="1:30" x14ac:dyDescent="0.3">
      <c r="A7" s="28" t="s">
        <v>938</v>
      </c>
      <c r="B7" s="27">
        <v>45875</v>
      </c>
      <c r="C7" s="28" t="s">
        <v>1154</v>
      </c>
      <c r="D7" s="28" t="s">
        <v>1179</v>
      </c>
      <c r="E7" s="27">
        <v>45873</v>
      </c>
      <c r="F7" s="27" t="str">
        <f t="shared" si="0"/>
        <v>New</v>
      </c>
      <c r="G7" s="28" t="s">
        <v>198</v>
      </c>
      <c r="H7" s="28" t="s">
        <v>331</v>
      </c>
      <c r="I7" s="28" t="s">
        <v>164</v>
      </c>
      <c r="J7" s="28" t="s">
        <v>327</v>
      </c>
      <c r="K7" s="29">
        <v>2</v>
      </c>
      <c r="L7" s="28" t="s">
        <v>201</v>
      </c>
      <c r="M7" s="28" t="s">
        <v>140</v>
      </c>
      <c r="N7" s="28"/>
      <c r="O7" s="28" t="s">
        <v>130</v>
      </c>
      <c r="P7" s="28" t="str">
        <f t="shared" si="1"/>
        <v/>
      </c>
      <c r="Q7" s="29">
        <v>4</v>
      </c>
      <c r="R7" s="29">
        <v>22</v>
      </c>
      <c r="S7" s="28" t="s">
        <v>291</v>
      </c>
      <c r="T7" s="30" t="str">
        <f>_xlfn.CONCAT(Table5[[#This Row],[OrderID]]," | ",Table5[[#This Row],[City]]," | ",Table5[[#This Row],[ItemName]])</f>
        <v>ORD-1006 | Lalitpur | Milk Tea</v>
      </c>
      <c r="U7" s="30" t="str">
        <f>UPPER(Table5[[#This Row],[City]])</f>
        <v>LALITPUR</v>
      </c>
      <c r="V7" s="30" t="str">
        <f>LOWER(Table5[[#This Row],[PaymentMethod]])</f>
        <v>cash on delivery</v>
      </c>
      <c r="W7" s="30" cm="1">
        <f t="array" ref="W7">_xlfn.XLOOKUP(TRIM(Table5[[#This Row],[ItemName]]), TRIM(Menu_Price_List_tbl[ItemName]),Menu_Price_List_tbl[UnitPrice_NPR])</f>
        <v>60</v>
      </c>
      <c r="X7" s="31">
        <f t="shared" si="2"/>
        <v>120</v>
      </c>
      <c r="Y7" s="30">
        <f>_xlfn.XLOOKUP(Table5[[#This Row],[City]],City_Delivery_Fee_tbl[City],City_Delivery_Fee_tbl[BaseDeliveryFee_NPR])</f>
        <v>50</v>
      </c>
      <c r="Z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7" s="31">
        <f>Table5[[#This Row],[Order Amount]]+Table5[[#This Row],[Delivery Fee]]-Table5[[#This Row],[Discount Amount]]</f>
        <v>170</v>
      </c>
      <c r="AB7" s="30" t="str">
        <f>_xlfn.XLOOKUP(Table5[[#This Row],[RiderID]], Rider_Directory!$F$2:$F$26, Rider_Directory!$B$2:$B$26)</f>
        <v>Lalitpur</v>
      </c>
      <c r="AC7" s="30" t="str" cm="1">
        <f t="array" ref="AC7">_xlfn.IFS(Table5[[#This Row],[Final Amount]]&lt;500, "Small", Table5[[#This Row],[Final Amount]]&lt;=1000, "Medium", Table5[[#This Row],[Final Amount]]&gt;1000, "Large")</f>
        <v>Small</v>
      </c>
      <c r="AD7" s="30" t="str">
        <f>_xlfn.LET(_xlpm.expiry,_xlfn.XLOOKUP(Table5[[#This Row],[PromoCode]],Promo_Codes!$A$2:$A$9,Promo_Codes!$F$2:$F$9,DATE(2099,1,1)),IF(Table5[[#This Row],[OrderDate]]&gt;_xlpm.expiry,"Expired Code Used","Valid"))</f>
        <v>Valid</v>
      </c>
    </row>
    <row r="8" spans="1:30" x14ac:dyDescent="0.3">
      <c r="A8" s="28" t="s">
        <v>248</v>
      </c>
      <c r="B8" s="27">
        <v>45876</v>
      </c>
      <c r="C8" s="28" t="s">
        <v>481</v>
      </c>
      <c r="D8" s="28" t="s">
        <v>1176</v>
      </c>
      <c r="E8" s="27">
        <v>45874</v>
      </c>
      <c r="F8" s="27" t="str">
        <f t="shared" si="0"/>
        <v>New</v>
      </c>
      <c r="G8" s="28" t="s">
        <v>198</v>
      </c>
      <c r="H8" s="28" t="s">
        <v>146</v>
      </c>
      <c r="I8" s="28" t="s">
        <v>147</v>
      </c>
      <c r="J8" s="28" t="s">
        <v>186</v>
      </c>
      <c r="K8" s="29">
        <v>1</v>
      </c>
      <c r="L8" s="28" t="s">
        <v>251</v>
      </c>
      <c r="M8" s="28" t="s">
        <v>140</v>
      </c>
      <c r="N8" s="28" t="s">
        <v>240</v>
      </c>
      <c r="O8" s="28" t="s">
        <v>130</v>
      </c>
      <c r="P8" s="28" t="str">
        <f t="shared" si="1"/>
        <v/>
      </c>
      <c r="Q8" s="29">
        <v>5</v>
      </c>
      <c r="R8" s="29">
        <v>34</v>
      </c>
      <c r="S8" s="28"/>
      <c r="T8" s="30" t="str">
        <f>_xlfn.CONCAT(Table5[[#This Row],[OrderID]]," | ",Table5[[#This Row],[City]]," | ",Table5[[#This Row],[ItemName]])</f>
        <v>ORD-1007 | Lalitpur | Sel Roti (4 pcs)</v>
      </c>
      <c r="U8" s="30" t="str">
        <f>UPPER(Table5[[#This Row],[City]])</f>
        <v>LALITPUR</v>
      </c>
      <c r="V8" s="30" t="str">
        <f>LOWER(Table5[[#This Row],[PaymentMethod]])</f>
        <v>cash on delivery</v>
      </c>
      <c r="W8" s="30" cm="1">
        <f t="array" ref="W8">_xlfn.XLOOKUP(TRIM(Table5[[#This Row],[ItemName]]), TRIM(Menu_Price_List_tbl[ItemName]),Menu_Price_List_tbl[UnitPrice_NPR])</f>
        <v>140</v>
      </c>
      <c r="X8" s="31">
        <f t="shared" si="2"/>
        <v>140</v>
      </c>
      <c r="Y8" s="30">
        <f>_xlfn.XLOOKUP(Table5[[#This Row],[City]],City_Delivery_Fee_tbl[City],City_Delivery_Fee_tbl[BaseDeliveryFee_NPR])</f>
        <v>50</v>
      </c>
      <c r="Z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28</v>
      </c>
      <c r="AA8" s="31">
        <f>Table5[[#This Row],[Order Amount]]+Table5[[#This Row],[Delivery Fee]]-Table5[[#This Row],[Discount Amount]]</f>
        <v>162</v>
      </c>
      <c r="AB8" s="30" t="str">
        <f>_xlfn.XLOOKUP(Table5[[#This Row],[RiderID]], Rider_Directory!$F$2:$F$26, Rider_Directory!$B$2:$B$26)</f>
        <v>Lalitpur</v>
      </c>
      <c r="AC8" s="30" t="str" cm="1">
        <f t="array" ref="AC8">_xlfn.IFS(Table5[[#This Row],[Final Amount]]&lt;500, "Small", Table5[[#This Row],[Final Amount]]&lt;=1000, "Medium", Table5[[#This Row],[Final Amount]]&gt;1000, "Large")</f>
        <v>Small</v>
      </c>
      <c r="AD8" s="30" t="str">
        <f>_xlfn.LET(_xlpm.expiry,_xlfn.XLOOKUP(Table5[[#This Row],[PromoCode]],Promo_Codes!$A$2:$A$9,Promo_Codes!$F$2:$F$9,DATE(2099,1,1)),IF(Table5[[#This Row],[OrderDate]]&gt;_xlpm.expiry,"Expired Code Used","Valid"))</f>
        <v>Valid</v>
      </c>
    </row>
    <row r="9" spans="1:30" x14ac:dyDescent="0.3">
      <c r="A9" s="28" t="s">
        <v>760</v>
      </c>
      <c r="B9" s="27">
        <v>45878</v>
      </c>
      <c r="C9" s="28" t="s">
        <v>686</v>
      </c>
      <c r="D9" s="28" t="s">
        <v>1167</v>
      </c>
      <c r="E9" s="27">
        <v>45877</v>
      </c>
      <c r="F9" s="27" t="str">
        <f t="shared" si="0"/>
        <v>New</v>
      </c>
      <c r="G9" s="28" t="s">
        <v>198</v>
      </c>
      <c r="H9" s="28" t="s">
        <v>331</v>
      </c>
      <c r="I9" s="28" t="s">
        <v>164</v>
      </c>
      <c r="J9" s="28" t="s">
        <v>393</v>
      </c>
      <c r="K9" s="29">
        <v>1</v>
      </c>
      <c r="L9" s="28" t="s">
        <v>213</v>
      </c>
      <c r="M9" s="28" t="s">
        <v>247</v>
      </c>
      <c r="N9" s="28"/>
      <c r="O9" s="28" t="s">
        <v>130</v>
      </c>
      <c r="P9" s="28" t="str">
        <f t="shared" si="1"/>
        <v/>
      </c>
      <c r="Q9" s="29">
        <v>4</v>
      </c>
      <c r="R9" s="29">
        <v>31</v>
      </c>
      <c r="S9" s="28"/>
      <c r="T9" s="30" t="str">
        <f>_xlfn.CONCAT(Table5[[#This Row],[OrderID]]," | ",Table5[[#This Row],[City]]," | ",Table5[[#This Row],[ItemName]])</f>
        <v>ORD-1008 | Lalitpur | Lemon Soda</v>
      </c>
      <c r="U9" s="30" t="str">
        <f>UPPER(Table5[[#This Row],[City]])</f>
        <v>LALITPUR</v>
      </c>
      <c r="V9" s="30" t="str">
        <f>LOWER(Table5[[#This Row],[PaymentMethod]])</f>
        <v>ime pay</v>
      </c>
      <c r="W9" s="30" cm="1">
        <f t="array" ref="W9">_xlfn.XLOOKUP(TRIM(Table5[[#This Row],[ItemName]]), TRIM(Menu_Price_List_tbl[ItemName]),Menu_Price_List_tbl[UnitPrice_NPR])</f>
        <v>100</v>
      </c>
      <c r="X9" s="31">
        <f t="shared" si="2"/>
        <v>100</v>
      </c>
      <c r="Y9" s="30">
        <f>_xlfn.XLOOKUP(Table5[[#This Row],[City]],City_Delivery_Fee_tbl[City],City_Delivery_Fee_tbl[BaseDeliveryFee_NPR])</f>
        <v>50</v>
      </c>
      <c r="Z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9" s="31">
        <f>Table5[[#This Row],[Order Amount]]+Table5[[#This Row],[Delivery Fee]]-Table5[[#This Row],[Discount Amount]]</f>
        <v>150</v>
      </c>
      <c r="AB9" s="30" t="str">
        <f>_xlfn.XLOOKUP(Table5[[#This Row],[RiderID]], Rider_Directory!$F$2:$F$26, Rider_Directory!$B$2:$B$26)</f>
        <v>Lalitpur</v>
      </c>
      <c r="AC9" s="30" t="str" cm="1">
        <f t="array" ref="AC9">_xlfn.IFS(Table5[[#This Row],[Final Amount]]&lt;500, "Small", Table5[[#This Row],[Final Amount]]&lt;=1000, "Medium", Table5[[#This Row],[Final Amount]]&gt;1000, "Large")</f>
        <v>Small</v>
      </c>
      <c r="AD9" s="30" t="str">
        <f>_xlfn.LET(_xlpm.expiry,_xlfn.XLOOKUP(Table5[[#This Row],[PromoCode]],Promo_Codes!$A$2:$A$9,Promo_Codes!$F$2:$F$9,DATE(2099,1,1)),IF(Table5[[#This Row],[OrderDate]]&gt;_xlpm.expiry,"Expired Code Used","Valid"))</f>
        <v>Valid</v>
      </c>
    </row>
    <row r="10" spans="1:30" x14ac:dyDescent="0.3">
      <c r="A10" s="28" t="s">
        <v>959</v>
      </c>
      <c r="B10" s="27">
        <v>45879</v>
      </c>
      <c r="C10" s="28" t="s">
        <v>960</v>
      </c>
      <c r="D10" s="28" t="s">
        <v>1283</v>
      </c>
      <c r="E10" s="27">
        <v>45879</v>
      </c>
      <c r="F10" s="27" t="str">
        <f t="shared" si="0"/>
        <v>New</v>
      </c>
      <c r="G10" s="28" t="s">
        <v>123</v>
      </c>
      <c r="H10" s="28" t="s">
        <v>339</v>
      </c>
      <c r="I10" s="28" t="s">
        <v>233</v>
      </c>
      <c r="J10" s="28" t="s">
        <v>234</v>
      </c>
      <c r="K10" s="29">
        <v>2</v>
      </c>
      <c r="L10" s="28" t="s">
        <v>127</v>
      </c>
      <c r="M10" s="28" t="s">
        <v>128</v>
      </c>
      <c r="N10" s="28"/>
      <c r="O10" s="28" t="s">
        <v>130</v>
      </c>
      <c r="P10" s="28" t="str">
        <f t="shared" si="1"/>
        <v/>
      </c>
      <c r="Q10" s="29">
        <v>3</v>
      </c>
      <c r="R10" s="29">
        <v>45</v>
      </c>
      <c r="S10" s="28" t="s">
        <v>224</v>
      </c>
      <c r="T10" s="30" t="str">
        <f>_xlfn.CONCAT(Table5[[#This Row],[OrderID]]," | ",Table5[[#This Row],[City]]," | ",Table5[[#This Row],[ItemName]])</f>
        <v>ORD-1009 | Biratnagar | Buff Momo (Steamed)</v>
      </c>
      <c r="U10" s="30" t="str">
        <f>UPPER(Table5[[#This Row],[City]])</f>
        <v>BIRATNAGAR</v>
      </c>
      <c r="V10" s="30" t="str">
        <f>LOWER(Table5[[#This Row],[PaymentMethod]])</f>
        <v>esewa</v>
      </c>
      <c r="W10" s="30" cm="1">
        <f t="array" ref="W10">_xlfn.XLOOKUP(TRIM(Table5[[#This Row],[ItemName]]), TRIM(Menu_Price_List_tbl[ItemName]),Menu_Price_List_tbl[UnitPrice_NPR])</f>
        <v>170</v>
      </c>
      <c r="X10" s="31">
        <f t="shared" si="2"/>
        <v>340</v>
      </c>
      <c r="Y10" s="30">
        <f>_xlfn.XLOOKUP(Table5[[#This Row],[City]],City_Delivery_Fee_tbl[City],City_Delivery_Fee_tbl[BaseDeliveryFee_NPR])</f>
        <v>90</v>
      </c>
      <c r="Z1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0" s="31">
        <f>Table5[[#This Row],[Order Amount]]+Table5[[#This Row],[Delivery Fee]]-Table5[[#This Row],[Discount Amount]]</f>
        <v>430</v>
      </c>
      <c r="AB10" s="30" t="str">
        <f>_xlfn.XLOOKUP(Table5[[#This Row],[RiderID]], Rider_Directory!$F$2:$F$26, Rider_Directory!$B$2:$B$26)</f>
        <v>Biratnagar</v>
      </c>
      <c r="AC10" s="30" t="str" cm="1">
        <f t="array" ref="AC10">_xlfn.IFS(Table5[[#This Row],[Final Amount]]&lt;500, "Small", Table5[[#This Row],[Final Amount]]&lt;=1000, "Medium", Table5[[#This Row],[Final Amount]]&gt;1000, "Large")</f>
        <v>Small</v>
      </c>
      <c r="AD10" s="30" t="str">
        <f>_xlfn.LET(_xlpm.expiry,_xlfn.XLOOKUP(Table5[[#This Row],[PromoCode]],Promo_Codes!$A$2:$A$9,Promo_Codes!$F$2:$F$9,DATE(2099,1,1)),IF(Table5[[#This Row],[OrderDate]]&gt;_xlpm.expiry,"Expired Code Used","Valid"))</f>
        <v>Valid</v>
      </c>
    </row>
    <row r="11" spans="1:30" x14ac:dyDescent="0.3">
      <c r="A11" s="28" t="s">
        <v>236</v>
      </c>
      <c r="B11" s="27">
        <v>45879</v>
      </c>
      <c r="C11" s="28" t="s">
        <v>237</v>
      </c>
      <c r="D11" s="28" t="s">
        <v>1174</v>
      </c>
      <c r="E11" s="27">
        <v>45878</v>
      </c>
      <c r="F11" s="27" t="str">
        <f t="shared" si="0"/>
        <v>New</v>
      </c>
      <c r="G11" s="28" t="s">
        <v>170</v>
      </c>
      <c r="H11" s="28" t="s">
        <v>124</v>
      </c>
      <c r="I11" s="28" t="s">
        <v>125</v>
      </c>
      <c r="J11" s="28" t="s">
        <v>239</v>
      </c>
      <c r="K11" s="29">
        <v>1</v>
      </c>
      <c r="L11" s="28" t="s">
        <v>173</v>
      </c>
      <c r="M11" s="28" t="s">
        <v>128</v>
      </c>
      <c r="N11" s="28" t="s">
        <v>240</v>
      </c>
      <c r="O11" s="28" t="s">
        <v>130</v>
      </c>
      <c r="P11" s="28" t="str">
        <f t="shared" si="1"/>
        <v/>
      </c>
      <c r="Q11" s="29">
        <v>3</v>
      </c>
      <c r="R11" s="29">
        <v>50</v>
      </c>
      <c r="S11" s="28" t="s">
        <v>241</v>
      </c>
      <c r="T11" s="30" t="str">
        <f>_xlfn.CONCAT(Table5[[#This Row],[OrderID]]," | ",Table5[[#This Row],[City]]," | ",Table5[[#This Row],[ItemName]])</f>
        <v xml:space="preserve">ORD-1010 | Butwal | Yomari  </v>
      </c>
      <c r="U11" s="30" t="str">
        <f>UPPER(Table5[[#This Row],[City]])</f>
        <v>BUTWAL</v>
      </c>
      <c r="V11" s="30" t="str">
        <f>LOWER(Table5[[#This Row],[PaymentMethod]])</f>
        <v>esewa</v>
      </c>
      <c r="W11" s="30" cm="1">
        <f t="array" ref="W11">_xlfn.XLOOKUP(TRIM(Table5[[#This Row],[ItemName]]), TRIM(Menu_Price_List_tbl[ItemName]),Menu_Price_List_tbl[UnitPrice_NPR])</f>
        <v>180</v>
      </c>
      <c r="X11" s="31">
        <f t="shared" si="2"/>
        <v>180</v>
      </c>
      <c r="Y11" s="30">
        <f>_xlfn.XLOOKUP(Table5[[#This Row],[City]],City_Delivery_Fee_tbl[City],City_Delivery_Fee_tbl[BaseDeliveryFee_NPR])</f>
        <v>85</v>
      </c>
      <c r="Z1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36</v>
      </c>
      <c r="AA11" s="31">
        <f>Table5[[#This Row],[Order Amount]]+Table5[[#This Row],[Delivery Fee]]-Table5[[#This Row],[Discount Amount]]</f>
        <v>229</v>
      </c>
      <c r="AB11" s="30" t="str">
        <f>_xlfn.XLOOKUP(Table5[[#This Row],[RiderID]], Rider_Directory!$F$2:$F$26, Rider_Directory!$B$2:$B$26)</f>
        <v>Butwal</v>
      </c>
      <c r="AC11" s="30" t="str" cm="1">
        <f t="array" ref="AC11">_xlfn.IFS(Table5[[#This Row],[Final Amount]]&lt;500, "Small", Table5[[#This Row],[Final Amount]]&lt;=1000, "Medium", Table5[[#This Row],[Final Amount]]&gt;1000, "Large")</f>
        <v>Small</v>
      </c>
      <c r="AD11" s="30" t="str">
        <f>_xlfn.LET(_xlpm.expiry,_xlfn.XLOOKUP(Table5[[#This Row],[PromoCode]],Promo_Codes!$A$2:$A$9,Promo_Codes!$F$2:$F$9,DATE(2099,1,1)),IF(Table5[[#This Row],[OrderDate]]&gt;_xlpm.expiry,"Expired Code Used","Valid"))</f>
        <v>Valid</v>
      </c>
    </row>
    <row r="12" spans="1:30" x14ac:dyDescent="0.3">
      <c r="A12" s="28" t="s">
        <v>812</v>
      </c>
      <c r="B12" s="27">
        <v>45880</v>
      </c>
      <c r="C12" s="28" t="s">
        <v>813</v>
      </c>
      <c r="D12" s="28" t="s">
        <v>1241</v>
      </c>
      <c r="E12" s="27">
        <v>45880</v>
      </c>
      <c r="F12" s="27" t="str">
        <f t="shared" si="0"/>
        <v>New</v>
      </c>
      <c r="G12" s="28" t="s">
        <v>259</v>
      </c>
      <c r="H12" s="28" t="s">
        <v>124</v>
      </c>
      <c r="I12" s="28" t="s">
        <v>125</v>
      </c>
      <c r="J12" s="28" t="s">
        <v>571</v>
      </c>
      <c r="K12" s="29">
        <v>3</v>
      </c>
      <c r="L12" s="28" t="s">
        <v>260</v>
      </c>
      <c r="M12" s="28" t="s">
        <v>128</v>
      </c>
      <c r="N12" s="28" t="s">
        <v>529</v>
      </c>
      <c r="O12" s="28" t="s">
        <v>130</v>
      </c>
      <c r="P12" s="28" t="str">
        <f t="shared" si="1"/>
        <v/>
      </c>
      <c r="Q12" s="29">
        <v>4</v>
      </c>
      <c r="R12" s="29">
        <v>53</v>
      </c>
      <c r="S12" s="28" t="s">
        <v>202</v>
      </c>
      <c r="T12" s="30" t="str">
        <f>_xlfn.CONCAT(Table5[[#This Row],[OrderID]]," | ",Table5[[#This Row],[City]]," | ",Table5[[#This Row],[ItemName]])</f>
        <v>ORD-1011 | Dharan | Choila (Buff)</v>
      </c>
      <c r="U12" s="30" t="str">
        <f>UPPER(Table5[[#This Row],[City]])</f>
        <v>DHARAN</v>
      </c>
      <c r="V12" s="30" t="str">
        <f>LOWER(Table5[[#This Row],[PaymentMethod]])</f>
        <v>esewa</v>
      </c>
      <c r="W12" s="30" cm="1">
        <f t="array" ref="W12">_xlfn.XLOOKUP(TRIM(Table5[[#This Row],[ItemName]]), TRIM(Menu_Price_List_tbl[ItemName]),Menu_Price_List_tbl[UnitPrice_NPR])</f>
        <v>320</v>
      </c>
      <c r="X12" s="31">
        <f t="shared" si="2"/>
        <v>960</v>
      </c>
      <c r="Y12" s="30">
        <f>_xlfn.XLOOKUP(Table5[[#This Row],[City]],City_Delivery_Fee_tbl[City],City_Delivery_Fee_tbl[BaseDeliveryFee_NPR])</f>
        <v>95</v>
      </c>
      <c r="Z1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30</v>
      </c>
      <c r="AA12" s="31">
        <f>Table5[[#This Row],[Order Amount]]+Table5[[#This Row],[Delivery Fee]]-Table5[[#This Row],[Discount Amount]]</f>
        <v>1025</v>
      </c>
      <c r="AB12" s="30" t="str">
        <f>_xlfn.XLOOKUP(Table5[[#This Row],[RiderID]], Rider_Directory!$F$2:$F$26, Rider_Directory!$B$2:$B$26)</f>
        <v>Dharan</v>
      </c>
      <c r="AC12" s="30" t="str" cm="1">
        <f t="array" ref="AC12">_xlfn.IFS(Table5[[#This Row],[Final Amount]]&lt;500, "Small", Table5[[#This Row],[Final Amount]]&lt;=1000, "Medium", Table5[[#This Row],[Final Amount]]&gt;1000, "Large")</f>
        <v>Large</v>
      </c>
      <c r="AD12" s="30" t="str">
        <f>_xlfn.LET(_xlpm.expiry,_xlfn.XLOOKUP(Table5[[#This Row],[PromoCode]],Promo_Codes!$A$2:$A$9,Promo_Codes!$F$2:$F$9,DATE(2099,1,1)),IF(Table5[[#This Row],[OrderDate]]&gt;_xlpm.expiry,"Expired Code Used","Valid"))</f>
        <v>Valid</v>
      </c>
    </row>
    <row r="13" spans="1:30" x14ac:dyDescent="0.3">
      <c r="A13" s="28" t="s">
        <v>866</v>
      </c>
      <c r="B13" s="27">
        <v>45880</v>
      </c>
      <c r="C13" s="28" t="s">
        <v>750</v>
      </c>
      <c r="D13" s="28" t="s">
        <v>1261</v>
      </c>
      <c r="E13" s="27">
        <v>45880</v>
      </c>
      <c r="F13" s="27" t="str">
        <f t="shared" si="0"/>
        <v>New</v>
      </c>
      <c r="G13" s="28" t="s">
        <v>135</v>
      </c>
      <c r="H13" s="28" t="s">
        <v>146</v>
      </c>
      <c r="I13" s="28" t="s">
        <v>147</v>
      </c>
      <c r="J13" s="28" t="s">
        <v>264</v>
      </c>
      <c r="K13" s="29">
        <v>1</v>
      </c>
      <c r="L13" s="28" t="s">
        <v>277</v>
      </c>
      <c r="M13" s="28" t="s">
        <v>159</v>
      </c>
      <c r="N13" s="28"/>
      <c r="O13" s="28" t="s">
        <v>130</v>
      </c>
      <c r="P13" s="28" t="str">
        <f t="shared" si="1"/>
        <v/>
      </c>
      <c r="Q13" s="29">
        <v>5</v>
      </c>
      <c r="R13" s="29">
        <v>27</v>
      </c>
      <c r="S13" s="28" t="s">
        <v>141</v>
      </c>
      <c r="T13" s="30" t="str">
        <f>_xlfn.CONCAT(Table5[[#This Row],[OrderID]]," | ",Table5[[#This Row],[City]]," | ",Table5[[#This Row],[ItemName]])</f>
        <v>ORD-1012 | Kathmandu | Cheese Cake Slice</v>
      </c>
      <c r="U13" s="30" t="str">
        <f>UPPER(Table5[[#This Row],[City]])</f>
        <v>KATHMANDU</v>
      </c>
      <c r="V13" s="30" t="str">
        <f>LOWER(Table5[[#This Row],[PaymentMethod]])</f>
        <v>khalti</v>
      </c>
      <c r="W13" s="30" cm="1">
        <f t="array" ref="W13">_xlfn.XLOOKUP(TRIM(Table5[[#This Row],[ItemName]]), TRIM(Menu_Price_List_tbl[ItemName]),Menu_Price_List_tbl[UnitPrice_NPR])</f>
        <v>250</v>
      </c>
      <c r="X13" s="31">
        <f t="shared" si="2"/>
        <v>250</v>
      </c>
      <c r="Y13" s="30">
        <f>_xlfn.XLOOKUP(Table5[[#This Row],[City]],City_Delivery_Fee_tbl[City],City_Delivery_Fee_tbl[BaseDeliveryFee_NPR])</f>
        <v>50</v>
      </c>
      <c r="Z1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3" s="31">
        <f>Table5[[#This Row],[Order Amount]]+Table5[[#This Row],[Delivery Fee]]-Table5[[#This Row],[Discount Amount]]</f>
        <v>300</v>
      </c>
      <c r="AB13" s="30" t="str">
        <f>_xlfn.XLOOKUP(Table5[[#This Row],[RiderID]], Rider_Directory!$F$2:$F$26, Rider_Directory!$B$2:$B$26)</f>
        <v>Kathmandu</v>
      </c>
      <c r="AC13" s="30" t="str" cm="1">
        <f t="array" ref="AC13">_xlfn.IFS(Table5[[#This Row],[Final Amount]]&lt;500, "Small", Table5[[#This Row],[Final Amount]]&lt;=1000, "Medium", Table5[[#This Row],[Final Amount]]&gt;1000, "Large")</f>
        <v>Small</v>
      </c>
      <c r="AD13" s="30" t="str">
        <f>_xlfn.LET(_xlpm.expiry,_xlfn.XLOOKUP(Table5[[#This Row],[PromoCode]],Promo_Codes!$A$2:$A$9,Promo_Codes!$F$2:$F$9,DATE(2099,1,1)),IF(Table5[[#This Row],[OrderDate]]&gt;_xlpm.expiry,"Expired Code Used","Valid"))</f>
        <v>Valid</v>
      </c>
    </row>
    <row r="14" spans="1:30" x14ac:dyDescent="0.3">
      <c r="A14" s="28" t="s">
        <v>694</v>
      </c>
      <c r="B14" s="27">
        <v>45881</v>
      </c>
      <c r="C14" s="28" t="s">
        <v>1140</v>
      </c>
      <c r="D14" s="28" t="s">
        <v>1252</v>
      </c>
      <c r="E14" s="27">
        <v>45784</v>
      </c>
      <c r="F14" s="27" t="str">
        <f t="shared" si="0"/>
        <v>Returning</v>
      </c>
      <c r="G14" s="28" t="s">
        <v>170</v>
      </c>
      <c r="H14" s="28" t="s">
        <v>124</v>
      </c>
      <c r="I14" s="28" t="s">
        <v>125</v>
      </c>
      <c r="J14" s="28" t="s">
        <v>697</v>
      </c>
      <c r="K14" s="29">
        <v>3</v>
      </c>
      <c r="L14" s="28" t="s">
        <v>158</v>
      </c>
      <c r="M14" s="28" t="s">
        <v>128</v>
      </c>
      <c r="N14" s="28"/>
      <c r="O14" s="28" t="s">
        <v>130</v>
      </c>
      <c r="P14" s="28" t="str">
        <f t="shared" si="1"/>
        <v/>
      </c>
      <c r="Q14" s="29">
        <v>2</v>
      </c>
      <c r="R14" s="29">
        <v>43</v>
      </c>
      <c r="S14" s="28"/>
      <c r="T14" s="30" t="str">
        <f>_xlfn.CONCAT(Table5[[#This Row],[OrderID]]," | ",Table5[[#This Row],[City]]," | ",Table5[[#This Row],[ItemName]])</f>
        <v>ORD-1013 | Butwal | Aloo Achar</v>
      </c>
      <c r="U14" s="30" t="str">
        <f>UPPER(Table5[[#This Row],[City]])</f>
        <v>BUTWAL</v>
      </c>
      <c r="V14" s="30" t="str">
        <f>LOWER(Table5[[#This Row],[PaymentMethod]])</f>
        <v>esewa</v>
      </c>
      <c r="W14" s="30" cm="1">
        <f t="array" ref="W14">_xlfn.XLOOKUP(TRIM(Table5[[#This Row],[ItemName]]), TRIM(Menu_Price_List_tbl[ItemName]),Menu_Price_List_tbl[UnitPrice_NPR])</f>
        <v>120</v>
      </c>
      <c r="X14" s="31">
        <f t="shared" si="2"/>
        <v>360</v>
      </c>
      <c r="Y14" s="30">
        <f>_xlfn.XLOOKUP(Table5[[#This Row],[City]],City_Delivery_Fee_tbl[City],City_Delivery_Fee_tbl[BaseDeliveryFee_NPR])</f>
        <v>85</v>
      </c>
      <c r="Z1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4" s="31">
        <f>Table5[[#This Row],[Order Amount]]+Table5[[#This Row],[Delivery Fee]]-Table5[[#This Row],[Discount Amount]]</f>
        <v>445</v>
      </c>
      <c r="AB14" s="30" t="str">
        <f>_xlfn.XLOOKUP(Table5[[#This Row],[RiderID]], Rider_Directory!$F$2:$F$26, Rider_Directory!$B$2:$B$26)</f>
        <v>Butwal</v>
      </c>
      <c r="AC14" s="30" t="str" cm="1">
        <f t="array" ref="AC14">_xlfn.IFS(Table5[[#This Row],[Final Amount]]&lt;500, "Small", Table5[[#This Row],[Final Amount]]&lt;=1000, "Medium", Table5[[#This Row],[Final Amount]]&gt;1000, "Large")</f>
        <v>Small</v>
      </c>
      <c r="AD14" s="30" t="str">
        <f>_xlfn.LET(_xlpm.expiry,_xlfn.XLOOKUP(Table5[[#This Row],[PromoCode]],Promo_Codes!$A$2:$A$9,Promo_Codes!$F$2:$F$9,DATE(2099,1,1)),IF(Table5[[#This Row],[OrderDate]]&gt;_xlpm.expiry,"Expired Code Used","Valid"))</f>
        <v>Valid</v>
      </c>
    </row>
    <row r="15" spans="1:30" x14ac:dyDescent="0.3">
      <c r="A15" s="28" t="s">
        <v>652</v>
      </c>
      <c r="B15" s="27">
        <v>45881</v>
      </c>
      <c r="C15" s="28" t="s">
        <v>210</v>
      </c>
      <c r="D15" s="28" t="s">
        <v>1170</v>
      </c>
      <c r="E15" s="27">
        <v>45880</v>
      </c>
      <c r="F15" s="27" t="str">
        <f t="shared" si="0"/>
        <v>New</v>
      </c>
      <c r="G15" s="28" t="s">
        <v>198</v>
      </c>
      <c r="H15" s="28" t="s">
        <v>124</v>
      </c>
      <c r="I15" s="28" t="s">
        <v>125</v>
      </c>
      <c r="J15" s="28" t="s">
        <v>126</v>
      </c>
      <c r="K15" s="29">
        <v>1</v>
      </c>
      <c r="L15" s="28" t="s">
        <v>201</v>
      </c>
      <c r="M15" s="28" t="s">
        <v>247</v>
      </c>
      <c r="N15" s="28" t="s">
        <v>129</v>
      </c>
      <c r="O15" s="28" t="s">
        <v>235</v>
      </c>
      <c r="P15" s="28" t="str">
        <f t="shared" si="1"/>
        <v/>
      </c>
      <c r="Q15" s="28"/>
      <c r="R15" s="29">
        <v>21</v>
      </c>
      <c r="S15" s="28"/>
      <c r="T15" s="30" t="str">
        <f>_xlfn.CONCAT(Table5[[#This Row],[OrderID]]," | ",Table5[[#This Row],[City]]," | ",Table5[[#This Row],[ItemName]])</f>
        <v>ORD-1014 | Lalitpur | Bara</v>
      </c>
      <c r="U15" s="30" t="str">
        <f>UPPER(Table5[[#This Row],[City]])</f>
        <v>LALITPUR</v>
      </c>
      <c r="V15" s="30" t="str">
        <f>LOWER(Table5[[#This Row],[PaymentMethod]])</f>
        <v>ime pay</v>
      </c>
      <c r="W15" s="30" cm="1">
        <f t="array" ref="W15">_xlfn.XLOOKUP(TRIM(Table5[[#This Row],[ItemName]]), TRIM(Menu_Price_List_tbl[ItemName]),Menu_Price_List_tbl[UnitPrice_NPR])</f>
        <v>160</v>
      </c>
      <c r="X15" s="31">
        <f t="shared" si="2"/>
        <v>160</v>
      </c>
      <c r="Y15" s="30">
        <f>_xlfn.XLOOKUP(Table5[[#This Row],[City]],City_Delivery_Fee_tbl[City],City_Delivery_Fee_tbl[BaseDeliveryFee_NPR])</f>
        <v>50</v>
      </c>
      <c r="Z1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15" s="31">
        <f>Table5[[#This Row],[Order Amount]]+Table5[[#This Row],[Delivery Fee]]-Table5[[#This Row],[Discount Amount]]</f>
        <v>110</v>
      </c>
      <c r="AB15" s="30" t="str">
        <f>_xlfn.XLOOKUP(Table5[[#This Row],[RiderID]], Rider_Directory!$F$2:$F$26, Rider_Directory!$B$2:$B$26)</f>
        <v>Lalitpur</v>
      </c>
      <c r="AC15" s="30" t="str" cm="1">
        <f t="array" ref="AC15">_xlfn.IFS(Table5[[#This Row],[Final Amount]]&lt;500, "Small", Table5[[#This Row],[Final Amount]]&lt;=1000, "Medium", Table5[[#This Row],[Final Amount]]&gt;1000, "Large")</f>
        <v>Small</v>
      </c>
      <c r="AD15" s="30" t="str">
        <f>_xlfn.LET(_xlpm.expiry,_xlfn.XLOOKUP(Table5[[#This Row],[PromoCode]],Promo_Codes!$A$2:$A$9,Promo_Codes!$F$2:$F$9,DATE(2099,1,1)),IF(Table5[[#This Row],[OrderDate]]&gt;_xlpm.expiry,"Expired Code Used","Valid"))</f>
        <v>Valid</v>
      </c>
    </row>
    <row r="16" spans="1:30" x14ac:dyDescent="0.3">
      <c r="A16" s="28" t="s">
        <v>707</v>
      </c>
      <c r="B16" s="27">
        <v>45882</v>
      </c>
      <c r="C16" s="28" t="s">
        <v>1141</v>
      </c>
      <c r="D16" s="28" t="s">
        <v>1254</v>
      </c>
      <c r="E16" s="27">
        <v>45881</v>
      </c>
      <c r="F16" s="27" t="str">
        <f t="shared" si="0"/>
        <v>New</v>
      </c>
      <c r="G16" s="28" t="s">
        <v>259</v>
      </c>
      <c r="H16" s="28" t="s">
        <v>178</v>
      </c>
      <c r="I16" s="28" t="s">
        <v>179</v>
      </c>
      <c r="J16" s="28" t="s">
        <v>180</v>
      </c>
      <c r="K16" s="29">
        <v>1</v>
      </c>
      <c r="L16" s="28" t="s">
        <v>474</v>
      </c>
      <c r="M16" s="28" t="s">
        <v>128</v>
      </c>
      <c r="N16" s="28" t="s">
        <v>529</v>
      </c>
      <c r="O16" s="28" t="s">
        <v>130</v>
      </c>
      <c r="P16" s="28" t="str">
        <f t="shared" si="1"/>
        <v/>
      </c>
      <c r="Q16" s="29">
        <v>4</v>
      </c>
      <c r="R16" s="29">
        <v>48</v>
      </c>
      <c r="S16" s="28"/>
      <c r="T16" s="30" t="str">
        <f>_xlfn.CONCAT(Table5[[#This Row],[OrderID]]," | ",Table5[[#This Row],[City]]," | ",Table5[[#This Row],[ItemName]])</f>
        <v>ORD-1015 | Dharan | Veg Fried Rice</v>
      </c>
      <c r="U16" s="30" t="str">
        <f>UPPER(Table5[[#This Row],[City]])</f>
        <v>DHARAN</v>
      </c>
      <c r="V16" s="30" t="str">
        <f>LOWER(Table5[[#This Row],[PaymentMethod]])</f>
        <v>esewa</v>
      </c>
      <c r="W16" s="30" cm="1">
        <f t="array" ref="W16">_xlfn.XLOOKUP(TRIM(Table5[[#This Row],[ItemName]]), TRIM(Menu_Price_List_tbl[ItemName]),Menu_Price_List_tbl[UnitPrice_NPR])</f>
        <v>220</v>
      </c>
      <c r="X16" s="31">
        <f t="shared" si="2"/>
        <v>220</v>
      </c>
      <c r="Y16" s="30">
        <f>_xlfn.XLOOKUP(Table5[[#This Row],[City]],City_Delivery_Fee_tbl[City],City_Delivery_Fee_tbl[BaseDeliveryFee_NPR])</f>
        <v>95</v>
      </c>
      <c r="Z1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30</v>
      </c>
      <c r="AA16" s="31">
        <f>Table5[[#This Row],[Order Amount]]+Table5[[#This Row],[Delivery Fee]]-Table5[[#This Row],[Discount Amount]]</f>
        <v>285</v>
      </c>
      <c r="AB16" s="30" t="str">
        <f>_xlfn.XLOOKUP(Table5[[#This Row],[RiderID]], Rider_Directory!$F$2:$F$26, Rider_Directory!$B$2:$B$26)</f>
        <v>Dharan</v>
      </c>
      <c r="AC16" s="30" t="str" cm="1">
        <f t="array" ref="AC16">_xlfn.IFS(Table5[[#This Row],[Final Amount]]&lt;500, "Small", Table5[[#This Row],[Final Amount]]&lt;=1000, "Medium", Table5[[#This Row],[Final Amount]]&gt;1000, "Large")</f>
        <v>Small</v>
      </c>
      <c r="AD16" s="30" t="str">
        <f>_xlfn.LET(_xlpm.expiry,_xlfn.XLOOKUP(Table5[[#This Row],[PromoCode]],Promo_Codes!$A$2:$A$9,Promo_Codes!$F$2:$F$9,DATE(2099,1,1)),IF(Table5[[#This Row],[OrderDate]]&gt;_xlpm.expiry,"Expired Code Used","Valid"))</f>
        <v>Valid</v>
      </c>
    </row>
    <row r="17" spans="1:30" x14ac:dyDescent="0.3">
      <c r="A17" s="28" t="s">
        <v>580</v>
      </c>
      <c r="B17" s="27">
        <v>45882</v>
      </c>
      <c r="C17" s="28" t="s">
        <v>243</v>
      </c>
      <c r="D17" s="28" t="s">
        <v>1175</v>
      </c>
      <c r="E17" s="27">
        <v>45814</v>
      </c>
      <c r="F17" s="27" t="str">
        <f t="shared" si="0"/>
        <v>Returning</v>
      </c>
      <c r="G17" s="28" t="s">
        <v>170</v>
      </c>
      <c r="H17" s="28" t="s">
        <v>199</v>
      </c>
      <c r="I17" s="28" t="s">
        <v>179</v>
      </c>
      <c r="J17" s="28" t="s">
        <v>582</v>
      </c>
      <c r="K17" s="29">
        <v>2</v>
      </c>
      <c r="L17" s="28" t="s">
        <v>173</v>
      </c>
      <c r="M17" s="28" t="s">
        <v>159</v>
      </c>
      <c r="N17" s="28"/>
      <c r="O17" s="28" t="s">
        <v>130</v>
      </c>
      <c r="P17" s="28" t="str">
        <f t="shared" si="1"/>
        <v/>
      </c>
      <c r="Q17" s="29">
        <v>3</v>
      </c>
      <c r="R17" s="29">
        <v>58</v>
      </c>
      <c r="S17" s="28"/>
      <c r="T17" s="30" t="str">
        <f>_xlfn.CONCAT(Table5[[#This Row],[OrderID]]," | ",Table5[[#This Row],[City]]," | ",Table5[[#This Row],[ItemName]])</f>
        <v>ORD-1016 | Butwal | CHICKEN CHOWMEIN</v>
      </c>
      <c r="U17" s="30" t="str">
        <f>UPPER(Table5[[#This Row],[City]])</f>
        <v>BUTWAL</v>
      </c>
      <c r="V17" s="30" t="str">
        <f>LOWER(Table5[[#This Row],[PaymentMethod]])</f>
        <v>khalti</v>
      </c>
      <c r="W17" s="30" cm="1">
        <f t="array" ref="W17">_xlfn.XLOOKUP(TRIM(Table5[[#This Row],[ItemName]]), TRIM(Menu_Price_List_tbl[ItemName]),Menu_Price_List_tbl[UnitPrice_NPR])</f>
        <v>250</v>
      </c>
      <c r="X17" s="31">
        <f t="shared" si="2"/>
        <v>500</v>
      </c>
      <c r="Y17" s="30">
        <f>_xlfn.XLOOKUP(Table5[[#This Row],[City]],City_Delivery_Fee_tbl[City],City_Delivery_Fee_tbl[BaseDeliveryFee_NPR])</f>
        <v>85</v>
      </c>
      <c r="Z1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7" s="31">
        <f>Table5[[#This Row],[Order Amount]]+Table5[[#This Row],[Delivery Fee]]-Table5[[#This Row],[Discount Amount]]</f>
        <v>585</v>
      </c>
      <c r="AB17" s="30" t="str">
        <f>_xlfn.XLOOKUP(Table5[[#This Row],[RiderID]], Rider_Directory!$F$2:$F$26, Rider_Directory!$B$2:$B$26)</f>
        <v>Butwal</v>
      </c>
      <c r="AC17" s="30" t="str" cm="1">
        <f t="array" ref="AC17">_xlfn.IFS(Table5[[#This Row],[Final Amount]]&lt;500, "Small", Table5[[#This Row],[Final Amount]]&lt;=1000, "Medium", Table5[[#This Row],[Final Amount]]&gt;1000, "Large")</f>
        <v>Medium</v>
      </c>
      <c r="AD17" s="30" t="str">
        <f>_xlfn.LET(_xlpm.expiry,_xlfn.XLOOKUP(Table5[[#This Row],[PromoCode]],Promo_Codes!$A$2:$A$9,Promo_Codes!$F$2:$F$9,DATE(2099,1,1)),IF(Table5[[#This Row],[OrderDate]]&gt;_xlpm.expiry,"Expired Code Used","Valid"))</f>
        <v>Valid</v>
      </c>
    </row>
    <row r="18" spans="1:30" x14ac:dyDescent="0.3">
      <c r="A18" s="28" t="s">
        <v>324</v>
      </c>
      <c r="B18" s="27">
        <v>45883</v>
      </c>
      <c r="C18" s="28" t="s">
        <v>325</v>
      </c>
      <c r="D18" s="28" t="s">
        <v>1189</v>
      </c>
      <c r="E18" s="27">
        <v>45881</v>
      </c>
      <c r="F18" s="27" t="str">
        <f t="shared" si="0"/>
        <v>New</v>
      </c>
      <c r="G18" s="28" t="s">
        <v>135</v>
      </c>
      <c r="H18" s="28" t="s">
        <v>163</v>
      </c>
      <c r="I18" s="28" t="s">
        <v>164</v>
      </c>
      <c r="J18" s="28" t="s">
        <v>327</v>
      </c>
      <c r="K18" s="29">
        <v>2</v>
      </c>
      <c r="L18" s="28" t="s">
        <v>277</v>
      </c>
      <c r="M18" s="28" t="s">
        <v>128</v>
      </c>
      <c r="N18" s="28"/>
      <c r="O18" s="28" t="s">
        <v>279</v>
      </c>
      <c r="P18" s="28" t="str">
        <f t="shared" si="1"/>
        <v/>
      </c>
      <c r="Q18" s="28"/>
      <c r="R18" s="29">
        <v>34</v>
      </c>
      <c r="S18" s="28"/>
      <c r="T18" s="30" t="str">
        <f>_xlfn.CONCAT(Table5[[#This Row],[OrderID]]," | ",Table5[[#This Row],[City]]," | ",Table5[[#This Row],[ItemName]])</f>
        <v>ORD-1017 | Kathmandu | Milk Tea</v>
      </c>
      <c r="U18" s="30" t="str">
        <f>UPPER(Table5[[#This Row],[City]])</f>
        <v>KATHMANDU</v>
      </c>
      <c r="V18" s="30" t="str">
        <f>LOWER(Table5[[#This Row],[PaymentMethod]])</f>
        <v>esewa</v>
      </c>
      <c r="W18" s="30" cm="1">
        <f t="array" ref="W18">_xlfn.XLOOKUP(TRIM(Table5[[#This Row],[ItemName]]), TRIM(Menu_Price_List_tbl[ItemName]),Menu_Price_List_tbl[UnitPrice_NPR])</f>
        <v>60</v>
      </c>
      <c r="X18" s="31">
        <f t="shared" si="2"/>
        <v>120</v>
      </c>
      <c r="Y18" s="30">
        <f>_xlfn.XLOOKUP(Table5[[#This Row],[City]],City_Delivery_Fee_tbl[City],City_Delivery_Fee_tbl[BaseDeliveryFee_NPR])</f>
        <v>50</v>
      </c>
      <c r="Z1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8" s="31">
        <f>Table5[[#This Row],[Order Amount]]+Table5[[#This Row],[Delivery Fee]]-Table5[[#This Row],[Discount Amount]]</f>
        <v>170</v>
      </c>
      <c r="AB18" s="30" t="str">
        <f>_xlfn.XLOOKUP(Table5[[#This Row],[RiderID]], Rider_Directory!$F$2:$F$26, Rider_Directory!$B$2:$B$26)</f>
        <v>Kathmandu</v>
      </c>
      <c r="AC18" s="30" t="str" cm="1">
        <f t="array" ref="AC18">_xlfn.IFS(Table5[[#This Row],[Final Amount]]&lt;500, "Small", Table5[[#This Row],[Final Amount]]&lt;=1000, "Medium", Table5[[#This Row],[Final Amount]]&gt;1000, "Large")</f>
        <v>Small</v>
      </c>
      <c r="AD18" s="30" t="str">
        <f>_xlfn.LET(_xlpm.expiry,_xlfn.XLOOKUP(Table5[[#This Row],[PromoCode]],Promo_Codes!$A$2:$A$9,Promo_Codes!$F$2:$F$9,DATE(2099,1,1)),IF(Table5[[#This Row],[OrderDate]]&gt;_xlpm.expiry,"Expired Code Used","Valid"))</f>
        <v>Valid</v>
      </c>
    </row>
    <row r="19" spans="1:30" x14ac:dyDescent="0.3">
      <c r="A19" s="28" t="s">
        <v>604</v>
      </c>
      <c r="B19" s="27">
        <v>45884</v>
      </c>
      <c r="C19" s="28" t="s">
        <v>605</v>
      </c>
      <c r="D19" s="28" t="s">
        <v>1237</v>
      </c>
      <c r="E19" s="27">
        <v>45787</v>
      </c>
      <c r="F19" s="27" t="str">
        <f t="shared" si="0"/>
        <v>Returning</v>
      </c>
      <c r="G19" s="28" t="s">
        <v>135</v>
      </c>
      <c r="H19" s="28" t="s">
        <v>538</v>
      </c>
      <c r="I19" s="28" t="s">
        <v>351</v>
      </c>
      <c r="J19" s="28" t="s">
        <v>352</v>
      </c>
      <c r="K19" s="29">
        <v>1</v>
      </c>
      <c r="L19" s="28" t="s">
        <v>139</v>
      </c>
      <c r="M19" s="28" t="s">
        <v>159</v>
      </c>
      <c r="N19" s="28"/>
      <c r="O19" s="28" t="s">
        <v>130</v>
      </c>
      <c r="P19" s="28" t="str">
        <f t="shared" si="1"/>
        <v/>
      </c>
      <c r="Q19" s="29">
        <v>5</v>
      </c>
      <c r="R19" s="29">
        <v>26</v>
      </c>
      <c r="S19" s="28"/>
      <c r="T19" s="30" t="str">
        <f>_xlfn.CONCAT(Table5[[#This Row],[OrderID]]," | ",Table5[[#This Row],[City]]," | ",Table5[[#This Row],[ItemName]])</f>
        <v>ORD-1018 | Kathmandu | Buff Sekuwa</v>
      </c>
      <c r="U19" s="30" t="str">
        <f>UPPER(Table5[[#This Row],[City]])</f>
        <v>KATHMANDU</v>
      </c>
      <c r="V19" s="30" t="str">
        <f>LOWER(Table5[[#This Row],[PaymentMethod]])</f>
        <v>khalti</v>
      </c>
      <c r="W19" s="30" cm="1">
        <f t="array" ref="W19">_xlfn.XLOOKUP(TRIM(Table5[[#This Row],[ItemName]]), TRIM(Menu_Price_List_tbl[ItemName]),Menu_Price_List_tbl[UnitPrice_NPR])</f>
        <v>380</v>
      </c>
      <c r="X19" s="31">
        <f t="shared" si="2"/>
        <v>380</v>
      </c>
      <c r="Y19" s="30">
        <f>_xlfn.XLOOKUP(Table5[[#This Row],[City]],City_Delivery_Fee_tbl[City],City_Delivery_Fee_tbl[BaseDeliveryFee_NPR])</f>
        <v>50</v>
      </c>
      <c r="Z1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9" s="31">
        <f>Table5[[#This Row],[Order Amount]]+Table5[[#This Row],[Delivery Fee]]-Table5[[#This Row],[Discount Amount]]</f>
        <v>430</v>
      </c>
      <c r="AB19" s="30" t="str">
        <f>_xlfn.XLOOKUP(Table5[[#This Row],[RiderID]], Rider_Directory!$F$2:$F$26, Rider_Directory!$B$2:$B$26)</f>
        <v>Kathmandu</v>
      </c>
      <c r="AC19" s="30" t="str" cm="1">
        <f t="array" ref="AC19">_xlfn.IFS(Table5[[#This Row],[Final Amount]]&lt;500, "Small", Table5[[#This Row],[Final Amount]]&lt;=1000, "Medium", Table5[[#This Row],[Final Amount]]&gt;1000, "Large")</f>
        <v>Small</v>
      </c>
      <c r="AD19" s="30" t="str">
        <f>_xlfn.LET(_xlpm.expiry,_xlfn.XLOOKUP(Table5[[#This Row],[PromoCode]],Promo_Codes!$A$2:$A$9,Promo_Codes!$F$2:$F$9,DATE(2099,1,1)),IF(Table5[[#This Row],[OrderDate]]&gt;_xlpm.expiry,"Expired Code Used","Valid"))</f>
        <v>Valid</v>
      </c>
    </row>
    <row r="20" spans="1:30" x14ac:dyDescent="0.3">
      <c r="A20" s="28" t="s">
        <v>933</v>
      </c>
      <c r="B20" s="27">
        <v>45885</v>
      </c>
      <c r="C20" s="28" t="s">
        <v>253</v>
      </c>
      <c r="D20" s="28" t="s">
        <v>1177</v>
      </c>
      <c r="E20" s="27">
        <v>45885</v>
      </c>
      <c r="F20" s="27" t="str">
        <f t="shared" si="0"/>
        <v>New</v>
      </c>
      <c r="G20" s="28" t="s">
        <v>135</v>
      </c>
      <c r="H20" s="28" t="s">
        <v>216</v>
      </c>
      <c r="I20" s="28" t="s">
        <v>125</v>
      </c>
      <c r="J20" s="28" t="s">
        <v>295</v>
      </c>
      <c r="K20" s="29">
        <v>3</v>
      </c>
      <c r="L20" s="28" t="s">
        <v>218</v>
      </c>
      <c r="M20" s="28" t="s">
        <v>128</v>
      </c>
      <c r="N20" s="28"/>
      <c r="O20" s="28" t="s">
        <v>130</v>
      </c>
      <c r="P20" s="28" t="str">
        <f t="shared" si="1"/>
        <v/>
      </c>
      <c r="Q20" s="29">
        <v>4</v>
      </c>
      <c r="R20" s="29">
        <v>32</v>
      </c>
      <c r="S20" s="28"/>
      <c r="T20" s="30" t="str">
        <f>_xlfn.CONCAT(Table5[[#This Row],[OrderID]]," | ",Table5[[#This Row],[City]]," | ",Table5[[#This Row],[ItemName]])</f>
        <v>ORD-1019 | Kathmandu | Sukuti Sandheko</v>
      </c>
      <c r="U20" s="30" t="str">
        <f>UPPER(Table5[[#This Row],[City]])</f>
        <v>KATHMANDU</v>
      </c>
      <c r="V20" s="30" t="str">
        <f>LOWER(Table5[[#This Row],[PaymentMethod]])</f>
        <v>esewa</v>
      </c>
      <c r="W20" s="30" cm="1">
        <f t="array" ref="W20">_xlfn.XLOOKUP(TRIM(Table5[[#This Row],[ItemName]]), TRIM(Menu_Price_List_tbl[ItemName]),Menu_Price_List_tbl[UnitPrice_NPR])</f>
        <v>350</v>
      </c>
      <c r="X20" s="31">
        <f t="shared" si="2"/>
        <v>1050</v>
      </c>
      <c r="Y20" s="30">
        <f>_xlfn.XLOOKUP(Table5[[#This Row],[City]],City_Delivery_Fee_tbl[City],City_Delivery_Fee_tbl[BaseDeliveryFee_NPR])</f>
        <v>50</v>
      </c>
      <c r="Z2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0" s="31">
        <f>Table5[[#This Row],[Order Amount]]+Table5[[#This Row],[Delivery Fee]]-Table5[[#This Row],[Discount Amount]]</f>
        <v>1100</v>
      </c>
      <c r="AB20" s="30" t="str">
        <f>_xlfn.XLOOKUP(Table5[[#This Row],[RiderID]], Rider_Directory!$F$2:$F$26, Rider_Directory!$B$2:$B$26)</f>
        <v>Kathmandu</v>
      </c>
      <c r="AC20" s="30" t="str" cm="1">
        <f t="array" ref="AC20">_xlfn.IFS(Table5[[#This Row],[Final Amount]]&lt;500, "Small", Table5[[#This Row],[Final Amount]]&lt;=1000, "Medium", Table5[[#This Row],[Final Amount]]&gt;1000, "Large")</f>
        <v>Large</v>
      </c>
      <c r="AD20" s="30" t="str">
        <f>_xlfn.LET(_xlpm.expiry,_xlfn.XLOOKUP(Table5[[#This Row],[PromoCode]],Promo_Codes!$A$2:$A$9,Promo_Codes!$F$2:$F$9,DATE(2099,1,1)),IF(Table5[[#This Row],[OrderDate]]&gt;_xlpm.expiry,"Expired Code Used","Valid"))</f>
        <v>Valid</v>
      </c>
    </row>
    <row r="21" spans="1:30" x14ac:dyDescent="0.3">
      <c r="A21" s="28" t="s">
        <v>418</v>
      </c>
      <c r="B21" s="27">
        <v>45886</v>
      </c>
      <c r="C21" s="28" t="s">
        <v>1126</v>
      </c>
      <c r="D21" s="28" t="s">
        <v>1206</v>
      </c>
      <c r="E21" s="27">
        <v>45886</v>
      </c>
      <c r="F21" s="27" t="str">
        <f t="shared" si="0"/>
        <v>New</v>
      </c>
      <c r="G21" s="28" t="s">
        <v>145</v>
      </c>
      <c r="H21" s="28" t="s">
        <v>199</v>
      </c>
      <c r="I21" s="28" t="s">
        <v>179</v>
      </c>
      <c r="J21" s="28" t="s">
        <v>421</v>
      </c>
      <c r="K21" s="29">
        <v>3</v>
      </c>
      <c r="L21" s="28" t="s">
        <v>307</v>
      </c>
      <c r="M21" s="28" t="s">
        <v>128</v>
      </c>
      <c r="N21" s="28"/>
      <c r="O21" s="28" t="s">
        <v>235</v>
      </c>
      <c r="P21" s="28" t="str">
        <f t="shared" si="1"/>
        <v/>
      </c>
      <c r="Q21" s="28"/>
      <c r="R21" s="29">
        <v>56</v>
      </c>
      <c r="S21" s="28" t="s">
        <v>359</v>
      </c>
      <c r="T21" s="30" t="str">
        <f>_xlfn.CONCAT(Table5[[#This Row],[OrderID]]," | ",Table5[[#This Row],[City]]," | ",Table5[[#This Row],[ItemName]])</f>
        <v>ORD-1020 | Chitwan | Chicken Burger</v>
      </c>
      <c r="U21" s="30" t="str">
        <f>UPPER(Table5[[#This Row],[City]])</f>
        <v>CHITWAN</v>
      </c>
      <c r="V21" s="30" t="str">
        <f>LOWER(Table5[[#This Row],[PaymentMethod]])</f>
        <v>esewa</v>
      </c>
      <c r="W21" s="30" cm="1">
        <f t="array" ref="W21">_xlfn.XLOOKUP(TRIM(Table5[[#This Row],[ItemName]]), TRIM(Menu_Price_List_tbl[ItemName]),Menu_Price_List_tbl[UnitPrice_NPR])</f>
        <v>280</v>
      </c>
      <c r="X21" s="31">
        <f t="shared" si="2"/>
        <v>840</v>
      </c>
      <c r="Y21" s="30">
        <f>_xlfn.XLOOKUP(Table5[[#This Row],[City]],City_Delivery_Fee_tbl[City],City_Delivery_Fee_tbl[BaseDeliveryFee_NPR])</f>
        <v>80</v>
      </c>
      <c r="Z2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1" s="31">
        <f>Table5[[#This Row],[Order Amount]]+Table5[[#This Row],[Delivery Fee]]-Table5[[#This Row],[Discount Amount]]</f>
        <v>920</v>
      </c>
      <c r="AB21" s="30" t="str">
        <f>_xlfn.XLOOKUP(Table5[[#This Row],[RiderID]], Rider_Directory!$F$2:$F$26, Rider_Directory!$B$2:$B$26)</f>
        <v>Chitwan</v>
      </c>
      <c r="AC21" s="30" t="str" cm="1">
        <f t="array" ref="AC21">_xlfn.IFS(Table5[[#This Row],[Final Amount]]&lt;500, "Small", Table5[[#This Row],[Final Amount]]&lt;=1000, "Medium", Table5[[#This Row],[Final Amount]]&gt;1000, "Large")</f>
        <v>Medium</v>
      </c>
      <c r="AD21" s="30" t="str">
        <f>_xlfn.LET(_xlpm.expiry,_xlfn.XLOOKUP(Table5[[#This Row],[PromoCode]],Promo_Codes!$A$2:$A$9,Promo_Codes!$F$2:$F$9,DATE(2099,1,1)),IF(Table5[[#This Row],[OrderDate]]&gt;_xlpm.expiry,"Expired Code Used","Valid"))</f>
        <v>Valid</v>
      </c>
    </row>
    <row r="22" spans="1:30" x14ac:dyDescent="0.3">
      <c r="A22" s="28" t="s">
        <v>480</v>
      </c>
      <c r="B22" s="27">
        <v>45886</v>
      </c>
      <c r="C22" s="28" t="s">
        <v>481</v>
      </c>
      <c r="D22" s="28" t="s">
        <v>1176</v>
      </c>
      <c r="E22" s="27">
        <v>45874</v>
      </c>
      <c r="F22" s="27" t="str">
        <f t="shared" si="0"/>
        <v>Returning</v>
      </c>
      <c r="G22" s="28" t="s">
        <v>177</v>
      </c>
      <c r="H22" s="28" t="s">
        <v>331</v>
      </c>
      <c r="I22" s="28" t="s">
        <v>164</v>
      </c>
      <c r="J22" s="28" t="s">
        <v>332</v>
      </c>
      <c r="K22" s="29">
        <v>1</v>
      </c>
      <c r="L22" s="28" t="s">
        <v>181</v>
      </c>
      <c r="M22" s="28" t="s">
        <v>159</v>
      </c>
      <c r="N22" s="28"/>
      <c r="O22" s="28" t="s">
        <v>130</v>
      </c>
      <c r="P22" s="28" t="str">
        <f t="shared" si="1"/>
        <v/>
      </c>
      <c r="Q22" s="29">
        <v>4</v>
      </c>
      <c r="R22" s="29">
        <v>24</v>
      </c>
      <c r="S22" s="28"/>
      <c r="T22" s="30" t="str">
        <f>_xlfn.CONCAT(Table5[[#This Row],[OrderID]]," | ",Table5[[#This Row],[City]]," | ",Table5[[#This Row],[ItemName]])</f>
        <v>ORD-1021 | Bhaktapur |   Black Coffee</v>
      </c>
      <c r="U22" s="30" t="str">
        <f>UPPER(Table5[[#This Row],[City]])</f>
        <v>BHAKTAPUR</v>
      </c>
      <c r="V22" s="30" t="str">
        <f>LOWER(Table5[[#This Row],[PaymentMethod]])</f>
        <v>khalti</v>
      </c>
      <c r="W22" s="30" cm="1">
        <f t="array" ref="W22">_xlfn.XLOOKUP(TRIM(Table5[[#This Row],[ItemName]]), TRIM(Menu_Price_List_tbl[ItemName]),Menu_Price_List_tbl[UnitPrice_NPR])</f>
        <v>90</v>
      </c>
      <c r="X22" s="31">
        <f t="shared" si="2"/>
        <v>90</v>
      </c>
      <c r="Y22" s="30">
        <f>_xlfn.XLOOKUP(Table5[[#This Row],[City]],City_Delivery_Fee_tbl[City],City_Delivery_Fee_tbl[BaseDeliveryFee_NPR])</f>
        <v>55</v>
      </c>
      <c r="Z2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2" s="31">
        <f>Table5[[#This Row],[Order Amount]]+Table5[[#This Row],[Delivery Fee]]-Table5[[#This Row],[Discount Amount]]</f>
        <v>145</v>
      </c>
      <c r="AB22" s="30" t="str">
        <f>_xlfn.XLOOKUP(Table5[[#This Row],[RiderID]], Rider_Directory!$F$2:$F$26, Rider_Directory!$B$2:$B$26)</f>
        <v>Bhaktapur</v>
      </c>
      <c r="AC22" s="30" t="str" cm="1">
        <f t="array" ref="AC22">_xlfn.IFS(Table5[[#This Row],[Final Amount]]&lt;500, "Small", Table5[[#This Row],[Final Amount]]&lt;=1000, "Medium", Table5[[#This Row],[Final Amount]]&gt;1000, "Large")</f>
        <v>Small</v>
      </c>
      <c r="AD22" s="30" t="str">
        <f>_xlfn.LET(_xlpm.expiry,_xlfn.XLOOKUP(Table5[[#This Row],[PromoCode]],Promo_Codes!$A$2:$A$9,Promo_Codes!$F$2:$F$9,DATE(2099,1,1)),IF(Table5[[#This Row],[OrderDate]]&gt;_xlpm.expiry,"Expired Code Used","Valid"))</f>
        <v>Valid</v>
      </c>
    </row>
    <row r="23" spans="1:30" x14ac:dyDescent="0.3">
      <c r="A23" s="28" t="s">
        <v>592</v>
      </c>
      <c r="B23" s="27">
        <v>45887</v>
      </c>
      <c r="C23" s="28" t="s">
        <v>561</v>
      </c>
      <c r="D23" s="28" t="s">
        <v>1231</v>
      </c>
      <c r="E23" s="27">
        <v>45886</v>
      </c>
      <c r="F23" s="27" t="str">
        <f t="shared" si="0"/>
        <v>New</v>
      </c>
      <c r="G23" s="28" t="s">
        <v>135</v>
      </c>
      <c r="H23" s="28" t="s">
        <v>136</v>
      </c>
      <c r="I23" s="28" t="s">
        <v>137</v>
      </c>
      <c r="J23" s="28" t="s">
        <v>593</v>
      </c>
      <c r="K23" s="29">
        <v>3</v>
      </c>
      <c r="L23" s="28" t="s">
        <v>277</v>
      </c>
      <c r="M23" s="28" t="s">
        <v>128</v>
      </c>
      <c r="N23" s="28"/>
      <c r="O23" s="28" t="s">
        <v>235</v>
      </c>
      <c r="P23" s="28" t="str">
        <f t="shared" si="1"/>
        <v/>
      </c>
      <c r="Q23" s="28"/>
      <c r="R23" s="29">
        <v>23</v>
      </c>
      <c r="S23" s="28" t="s">
        <v>359</v>
      </c>
      <c r="T23" s="30" t="str">
        <f>_xlfn.CONCAT(Table5[[#This Row],[OrderID]]," | ",Table5[[#This Row],[City]]," | ",Table5[[#This Row],[ItemName]])</f>
        <v>ORD-1022 | Kathmandu | Mutton Thakali Set</v>
      </c>
      <c r="U23" s="30" t="str">
        <f>UPPER(Table5[[#This Row],[City]])</f>
        <v>KATHMANDU</v>
      </c>
      <c r="V23" s="30" t="str">
        <f>LOWER(Table5[[#This Row],[PaymentMethod]])</f>
        <v>esewa</v>
      </c>
      <c r="W23" s="30" cm="1">
        <f t="array" ref="W23">_xlfn.XLOOKUP(TRIM(Table5[[#This Row],[ItemName]]), TRIM(Menu_Price_List_tbl[ItemName]),Menu_Price_List_tbl[UnitPrice_NPR])</f>
        <v>650</v>
      </c>
      <c r="X23" s="31">
        <f t="shared" si="2"/>
        <v>1950</v>
      </c>
      <c r="Y23" s="30">
        <f>_xlfn.XLOOKUP(Table5[[#This Row],[City]],City_Delivery_Fee_tbl[City],City_Delivery_Fee_tbl[BaseDeliveryFee_NPR])</f>
        <v>50</v>
      </c>
      <c r="Z2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3" s="31">
        <f>Table5[[#This Row],[Order Amount]]+Table5[[#This Row],[Delivery Fee]]-Table5[[#This Row],[Discount Amount]]</f>
        <v>2000</v>
      </c>
      <c r="AB23" s="30" t="str">
        <f>_xlfn.XLOOKUP(Table5[[#This Row],[RiderID]], Rider_Directory!$F$2:$F$26, Rider_Directory!$B$2:$B$26)</f>
        <v>Kathmandu</v>
      </c>
      <c r="AC23" s="30" t="str" cm="1">
        <f t="array" ref="AC23">_xlfn.IFS(Table5[[#This Row],[Final Amount]]&lt;500, "Small", Table5[[#This Row],[Final Amount]]&lt;=1000, "Medium", Table5[[#This Row],[Final Amount]]&gt;1000, "Large")</f>
        <v>Large</v>
      </c>
      <c r="AD23" s="30" t="str">
        <f>_xlfn.LET(_xlpm.expiry,_xlfn.XLOOKUP(Table5[[#This Row],[PromoCode]],Promo_Codes!$A$2:$A$9,Promo_Codes!$F$2:$F$9,DATE(2099,1,1)),IF(Table5[[#This Row],[OrderDate]]&gt;_xlpm.expiry,"Expired Code Used","Valid"))</f>
        <v>Valid</v>
      </c>
    </row>
    <row r="24" spans="1:30" x14ac:dyDescent="0.3">
      <c r="A24" s="28" t="s">
        <v>675</v>
      </c>
      <c r="B24" s="27">
        <v>45888</v>
      </c>
      <c r="C24" s="28" t="s">
        <v>676</v>
      </c>
      <c r="D24" s="28" t="s">
        <v>1248</v>
      </c>
      <c r="E24" s="27">
        <v>45888</v>
      </c>
      <c r="F24" s="27" t="str">
        <f t="shared" si="0"/>
        <v>New</v>
      </c>
      <c r="G24" s="28" t="s">
        <v>198</v>
      </c>
      <c r="H24" s="28" t="s">
        <v>178</v>
      </c>
      <c r="I24" s="28" t="s">
        <v>179</v>
      </c>
      <c r="J24" s="28" t="s">
        <v>479</v>
      </c>
      <c r="K24" s="29">
        <v>3</v>
      </c>
      <c r="L24" s="28" t="s">
        <v>201</v>
      </c>
      <c r="M24" s="28" t="s">
        <v>159</v>
      </c>
      <c r="N24" s="28"/>
      <c r="O24" s="28" t="s">
        <v>130</v>
      </c>
      <c r="P24" s="28" t="str">
        <f t="shared" si="1"/>
        <v/>
      </c>
      <c r="Q24" s="29">
        <v>5</v>
      </c>
      <c r="R24" s="29">
        <v>37</v>
      </c>
      <c r="S24" s="28"/>
      <c r="T24" s="30" t="str">
        <f>_xlfn.CONCAT(Table5[[#This Row],[OrderID]]," | ",Table5[[#This Row],[City]]," | ",Table5[[#This Row],[ItemName]])</f>
        <v>ORD-1023 | Lalitpur | veg fried rice</v>
      </c>
      <c r="U24" s="30" t="str">
        <f>UPPER(Table5[[#This Row],[City]])</f>
        <v>LALITPUR</v>
      </c>
      <c r="V24" s="30" t="str">
        <f>LOWER(Table5[[#This Row],[PaymentMethod]])</f>
        <v>khalti</v>
      </c>
      <c r="W24" s="30" cm="1">
        <f t="array" ref="W24">_xlfn.XLOOKUP(TRIM(Table5[[#This Row],[ItemName]]), TRIM(Menu_Price_List_tbl[ItemName]),Menu_Price_List_tbl[UnitPrice_NPR])</f>
        <v>220</v>
      </c>
      <c r="X24" s="31">
        <f t="shared" si="2"/>
        <v>660</v>
      </c>
      <c r="Y24" s="30">
        <f>_xlfn.XLOOKUP(Table5[[#This Row],[City]],City_Delivery_Fee_tbl[City],City_Delivery_Fee_tbl[BaseDeliveryFee_NPR])</f>
        <v>50</v>
      </c>
      <c r="Z2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4" s="31">
        <f>Table5[[#This Row],[Order Amount]]+Table5[[#This Row],[Delivery Fee]]-Table5[[#This Row],[Discount Amount]]</f>
        <v>710</v>
      </c>
      <c r="AB24" s="30" t="str">
        <f>_xlfn.XLOOKUP(Table5[[#This Row],[RiderID]], Rider_Directory!$F$2:$F$26, Rider_Directory!$B$2:$B$26)</f>
        <v>Lalitpur</v>
      </c>
      <c r="AC24" s="30" t="str" cm="1">
        <f t="array" ref="AC24">_xlfn.IFS(Table5[[#This Row],[Final Amount]]&lt;500, "Small", Table5[[#This Row],[Final Amount]]&lt;=1000, "Medium", Table5[[#This Row],[Final Amount]]&gt;1000, "Large")</f>
        <v>Medium</v>
      </c>
      <c r="AD24" s="30" t="str">
        <f>_xlfn.LET(_xlpm.expiry,_xlfn.XLOOKUP(Table5[[#This Row],[PromoCode]],Promo_Codes!$A$2:$A$9,Promo_Codes!$F$2:$F$9,DATE(2099,1,1)),IF(Table5[[#This Row],[OrderDate]]&gt;_xlpm.expiry,"Expired Code Used","Valid"))</f>
        <v>Valid</v>
      </c>
    </row>
    <row r="25" spans="1:30" x14ac:dyDescent="0.3">
      <c r="A25" s="28" t="s">
        <v>394</v>
      </c>
      <c r="B25" s="27">
        <v>45889</v>
      </c>
      <c r="C25" s="28" t="s">
        <v>1125</v>
      </c>
      <c r="D25" s="28" t="s">
        <v>1202</v>
      </c>
      <c r="E25" s="27">
        <v>45888</v>
      </c>
      <c r="F25" s="27" t="str">
        <f t="shared" si="0"/>
        <v>New</v>
      </c>
      <c r="G25" s="28" t="s">
        <v>135</v>
      </c>
      <c r="H25" s="28" t="s">
        <v>178</v>
      </c>
      <c r="I25" s="28" t="s">
        <v>179</v>
      </c>
      <c r="J25" s="28" t="s">
        <v>398</v>
      </c>
      <c r="K25" s="29">
        <v>2</v>
      </c>
      <c r="L25" s="28" t="s">
        <v>277</v>
      </c>
      <c r="M25" s="28" t="s">
        <v>247</v>
      </c>
      <c r="N25" s="28"/>
      <c r="O25" s="28" t="s">
        <v>235</v>
      </c>
      <c r="P25" s="28" t="str">
        <f t="shared" si="1"/>
        <v/>
      </c>
      <c r="Q25" s="28"/>
      <c r="R25" s="29">
        <v>31</v>
      </c>
      <c r="S25" s="28"/>
      <c r="T25" s="30" t="str">
        <f>_xlfn.CONCAT(Table5[[#This Row],[OrderID]]," | ",Table5[[#This Row],[City]]," | ",Table5[[#This Row],[ItemName]])</f>
        <v>ORD-1024 | Kathmandu | chicken burger</v>
      </c>
      <c r="U25" s="30" t="str">
        <f>UPPER(Table5[[#This Row],[City]])</f>
        <v>KATHMANDU</v>
      </c>
      <c r="V25" s="30" t="str">
        <f>LOWER(Table5[[#This Row],[PaymentMethod]])</f>
        <v>ime pay</v>
      </c>
      <c r="W25" s="30" cm="1">
        <f t="array" ref="W25">_xlfn.XLOOKUP(TRIM(Table5[[#This Row],[ItemName]]), TRIM(Menu_Price_List_tbl[ItemName]),Menu_Price_List_tbl[UnitPrice_NPR])</f>
        <v>280</v>
      </c>
      <c r="X25" s="31">
        <f t="shared" si="2"/>
        <v>560</v>
      </c>
      <c r="Y25" s="30">
        <f>_xlfn.XLOOKUP(Table5[[#This Row],[City]],City_Delivery_Fee_tbl[City],City_Delivery_Fee_tbl[BaseDeliveryFee_NPR])</f>
        <v>50</v>
      </c>
      <c r="Z2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5" s="31">
        <f>Table5[[#This Row],[Order Amount]]+Table5[[#This Row],[Delivery Fee]]-Table5[[#This Row],[Discount Amount]]</f>
        <v>610</v>
      </c>
      <c r="AB25" s="30" t="str">
        <f>_xlfn.XLOOKUP(Table5[[#This Row],[RiderID]], Rider_Directory!$F$2:$F$26, Rider_Directory!$B$2:$B$26)</f>
        <v>Kathmandu</v>
      </c>
      <c r="AC25" s="30" t="str" cm="1">
        <f t="array" ref="AC25">_xlfn.IFS(Table5[[#This Row],[Final Amount]]&lt;500, "Small", Table5[[#This Row],[Final Amount]]&lt;=1000, "Medium", Table5[[#This Row],[Final Amount]]&gt;1000, "Large")</f>
        <v>Medium</v>
      </c>
      <c r="AD25" s="30" t="str">
        <f>_xlfn.LET(_xlpm.expiry,_xlfn.XLOOKUP(Table5[[#This Row],[PromoCode]],Promo_Codes!$A$2:$A$9,Promo_Codes!$F$2:$F$9,DATE(2099,1,1)),IF(Table5[[#This Row],[OrderDate]]&gt;_xlpm.expiry,"Expired Code Used","Valid"))</f>
        <v>Valid</v>
      </c>
    </row>
    <row r="26" spans="1:30" x14ac:dyDescent="0.3">
      <c r="A26" s="28" t="s">
        <v>160</v>
      </c>
      <c r="B26" s="27">
        <v>45890</v>
      </c>
      <c r="C26" s="28" t="s">
        <v>161</v>
      </c>
      <c r="D26" s="28" t="s">
        <v>1163</v>
      </c>
      <c r="E26" s="27">
        <v>45743</v>
      </c>
      <c r="F26" s="27" t="str">
        <f t="shared" si="0"/>
        <v>Returning</v>
      </c>
      <c r="G26" s="28" t="s">
        <v>123</v>
      </c>
      <c r="H26" s="28" t="s">
        <v>163</v>
      </c>
      <c r="I26" s="28" t="s">
        <v>164</v>
      </c>
      <c r="J26" s="28" t="s">
        <v>165</v>
      </c>
      <c r="K26" s="29">
        <v>1</v>
      </c>
      <c r="L26" s="28" t="s">
        <v>166</v>
      </c>
      <c r="M26" s="28" t="s">
        <v>159</v>
      </c>
      <c r="N26" s="28"/>
      <c r="O26" s="28" t="s">
        <v>130</v>
      </c>
      <c r="P26" s="28" t="str">
        <f t="shared" si="1"/>
        <v/>
      </c>
      <c r="Q26" s="29">
        <v>5</v>
      </c>
      <c r="R26" s="29">
        <v>34</v>
      </c>
      <c r="S26" s="28" t="s">
        <v>141</v>
      </c>
      <c r="T26" s="30" t="str">
        <f>_xlfn.CONCAT(Table5[[#This Row],[OrderID]]," | ",Table5[[#This Row],[City]]," | ",Table5[[#This Row],[ItemName]])</f>
        <v>ORD-1025 | Biratnagar | MANGO JUICE</v>
      </c>
      <c r="U26" s="30" t="str">
        <f>UPPER(Table5[[#This Row],[City]])</f>
        <v>BIRATNAGAR</v>
      </c>
      <c r="V26" s="30" t="str">
        <f>LOWER(Table5[[#This Row],[PaymentMethod]])</f>
        <v>khalti</v>
      </c>
      <c r="W26" s="30" cm="1">
        <f t="array" ref="W26">_xlfn.XLOOKUP(TRIM(Table5[[#This Row],[ItemName]]), TRIM(Menu_Price_List_tbl[ItemName]),Menu_Price_List_tbl[UnitPrice_NPR])</f>
        <v>120</v>
      </c>
      <c r="X26" s="31">
        <f t="shared" si="2"/>
        <v>120</v>
      </c>
      <c r="Y26" s="30">
        <f>_xlfn.XLOOKUP(Table5[[#This Row],[City]],City_Delivery_Fee_tbl[City],City_Delivery_Fee_tbl[BaseDeliveryFee_NPR])</f>
        <v>90</v>
      </c>
      <c r="Z2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6" s="31">
        <f>Table5[[#This Row],[Order Amount]]+Table5[[#This Row],[Delivery Fee]]-Table5[[#This Row],[Discount Amount]]</f>
        <v>210</v>
      </c>
      <c r="AB26" s="30" t="str">
        <f>_xlfn.XLOOKUP(Table5[[#This Row],[RiderID]], Rider_Directory!$F$2:$F$26, Rider_Directory!$B$2:$B$26)</f>
        <v>Biratnagar</v>
      </c>
      <c r="AC26" s="30" t="str" cm="1">
        <f t="array" ref="AC26">_xlfn.IFS(Table5[[#This Row],[Final Amount]]&lt;500, "Small", Table5[[#This Row],[Final Amount]]&lt;=1000, "Medium", Table5[[#This Row],[Final Amount]]&gt;1000, "Large")</f>
        <v>Small</v>
      </c>
      <c r="AD26" s="30" t="str">
        <f>_xlfn.LET(_xlpm.expiry,_xlfn.XLOOKUP(Table5[[#This Row],[PromoCode]],Promo_Codes!$A$2:$A$9,Promo_Codes!$F$2:$F$9,DATE(2099,1,1)),IF(Table5[[#This Row],[OrderDate]]&gt;_xlpm.expiry,"Expired Code Used","Valid"))</f>
        <v>Valid</v>
      </c>
    </row>
    <row r="27" spans="1:30" x14ac:dyDescent="0.3">
      <c r="A27" s="28" t="s">
        <v>819</v>
      </c>
      <c r="B27" s="27">
        <v>45890</v>
      </c>
      <c r="C27" s="28" t="s">
        <v>608</v>
      </c>
      <c r="D27" s="28" t="s">
        <v>1214</v>
      </c>
      <c r="E27" s="27">
        <v>45889</v>
      </c>
      <c r="F27" s="27" t="str">
        <f t="shared" si="0"/>
        <v>New</v>
      </c>
      <c r="G27" s="28" t="s">
        <v>206</v>
      </c>
      <c r="H27" s="28" t="s">
        <v>199</v>
      </c>
      <c r="I27" s="28" t="s">
        <v>179</v>
      </c>
      <c r="J27" s="28" t="s">
        <v>297</v>
      </c>
      <c r="K27" s="29">
        <v>1</v>
      </c>
      <c r="L27" s="28" t="s">
        <v>358</v>
      </c>
      <c r="M27" s="28" t="s">
        <v>247</v>
      </c>
      <c r="N27" s="28"/>
      <c r="O27" s="28" t="s">
        <v>130</v>
      </c>
      <c r="P27" s="28" t="str">
        <f t="shared" si="1"/>
        <v/>
      </c>
      <c r="Q27" s="29">
        <v>5</v>
      </c>
      <c r="R27" s="29">
        <v>23</v>
      </c>
      <c r="S27" s="28" t="s">
        <v>302</v>
      </c>
      <c r="T27" s="30" t="str">
        <f>_xlfn.CONCAT(Table5[[#This Row],[OrderID]]," | ",Table5[[#This Row],[City]]," | ",Table5[[#This Row],[ItemName]])</f>
        <v>ORD-1026 | Pokhara | Chicken Chowmein</v>
      </c>
      <c r="U27" s="30" t="str">
        <f>UPPER(Table5[[#This Row],[City]])</f>
        <v>POKHARA</v>
      </c>
      <c r="V27" s="30" t="str">
        <f>LOWER(Table5[[#This Row],[PaymentMethod]])</f>
        <v>ime pay</v>
      </c>
      <c r="W27" s="30" cm="1">
        <f t="array" ref="W27">_xlfn.XLOOKUP(TRIM(Table5[[#This Row],[ItemName]]), TRIM(Menu_Price_List_tbl[ItemName]),Menu_Price_List_tbl[UnitPrice_NPR])</f>
        <v>250</v>
      </c>
      <c r="X27" s="31">
        <f t="shared" si="2"/>
        <v>250</v>
      </c>
      <c r="Y27" s="30">
        <f>_xlfn.XLOOKUP(Table5[[#This Row],[City]],City_Delivery_Fee_tbl[City],City_Delivery_Fee_tbl[BaseDeliveryFee_NPR])</f>
        <v>70</v>
      </c>
      <c r="Z2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7" s="31">
        <f>Table5[[#This Row],[Order Amount]]+Table5[[#This Row],[Delivery Fee]]-Table5[[#This Row],[Discount Amount]]</f>
        <v>320</v>
      </c>
      <c r="AB27" s="30" t="str">
        <f>_xlfn.XLOOKUP(Table5[[#This Row],[RiderID]], Rider_Directory!$F$2:$F$26, Rider_Directory!$B$2:$B$26)</f>
        <v>Pokhara</v>
      </c>
      <c r="AC27" s="30" t="str" cm="1">
        <f t="array" ref="AC27">_xlfn.IFS(Table5[[#This Row],[Final Amount]]&lt;500, "Small", Table5[[#This Row],[Final Amount]]&lt;=1000, "Medium", Table5[[#This Row],[Final Amount]]&gt;1000, "Large")</f>
        <v>Small</v>
      </c>
      <c r="AD27" s="30" t="str">
        <f>_xlfn.LET(_xlpm.expiry,_xlfn.XLOOKUP(Table5[[#This Row],[PromoCode]],Promo_Codes!$A$2:$A$9,Promo_Codes!$F$2:$F$9,DATE(2099,1,1)),IF(Table5[[#This Row],[OrderDate]]&gt;_xlpm.expiry,"Expired Code Used","Valid"))</f>
        <v>Valid</v>
      </c>
    </row>
    <row r="28" spans="1:30" x14ac:dyDescent="0.3">
      <c r="A28" s="28" t="s">
        <v>526</v>
      </c>
      <c r="B28" s="27">
        <v>45891</v>
      </c>
      <c r="C28" s="28" t="s">
        <v>872</v>
      </c>
      <c r="D28" s="28" t="s">
        <v>1225</v>
      </c>
      <c r="E28" s="27">
        <v>45891</v>
      </c>
      <c r="F28" s="27" t="str">
        <f t="shared" si="0"/>
        <v>New</v>
      </c>
      <c r="G28" s="28" t="s">
        <v>135</v>
      </c>
      <c r="H28" s="28" t="s">
        <v>178</v>
      </c>
      <c r="I28" s="28" t="s">
        <v>179</v>
      </c>
      <c r="J28" s="28" t="s">
        <v>297</v>
      </c>
      <c r="K28" s="29">
        <v>3</v>
      </c>
      <c r="L28" s="28" t="s">
        <v>187</v>
      </c>
      <c r="M28" s="28" t="s">
        <v>159</v>
      </c>
      <c r="N28" s="28" t="s">
        <v>529</v>
      </c>
      <c r="O28" s="28" t="s">
        <v>130</v>
      </c>
      <c r="P28" s="28" t="str">
        <f t="shared" si="1"/>
        <v/>
      </c>
      <c r="Q28" s="28"/>
      <c r="R28" s="29">
        <v>32</v>
      </c>
      <c r="S28" s="28"/>
      <c r="T28" s="30" t="str">
        <f>_xlfn.CONCAT(Table5[[#This Row],[OrderID]]," | ",Table5[[#This Row],[City]]," | ",Table5[[#This Row],[ItemName]])</f>
        <v>ORD-1027 | Kathmandu | Chicken Chowmein</v>
      </c>
      <c r="U28" s="30" t="str">
        <f>UPPER(Table5[[#This Row],[City]])</f>
        <v>KATHMANDU</v>
      </c>
      <c r="V28" s="30" t="str">
        <f>LOWER(Table5[[#This Row],[PaymentMethod]])</f>
        <v>khalti</v>
      </c>
      <c r="W28" s="30" cm="1">
        <f t="array" ref="W28">_xlfn.XLOOKUP(TRIM(Table5[[#This Row],[ItemName]]), TRIM(Menu_Price_List_tbl[ItemName]),Menu_Price_List_tbl[UnitPrice_NPR])</f>
        <v>250</v>
      </c>
      <c r="X28" s="31">
        <f t="shared" si="2"/>
        <v>750</v>
      </c>
      <c r="Y28" s="30">
        <f>_xlfn.XLOOKUP(Table5[[#This Row],[City]],City_Delivery_Fee_tbl[City],City_Delivery_Fee_tbl[BaseDeliveryFee_NPR])</f>
        <v>50</v>
      </c>
      <c r="Z2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30</v>
      </c>
      <c r="AA28" s="31">
        <f>Table5[[#This Row],[Order Amount]]+Table5[[#This Row],[Delivery Fee]]-Table5[[#This Row],[Discount Amount]]</f>
        <v>770</v>
      </c>
      <c r="AB28" s="30" t="str">
        <f>_xlfn.XLOOKUP(Table5[[#This Row],[RiderID]], Rider_Directory!$F$2:$F$26, Rider_Directory!$B$2:$B$26)</f>
        <v>Kathmandu</v>
      </c>
      <c r="AC28" s="30" t="str" cm="1">
        <f t="array" ref="AC28">_xlfn.IFS(Table5[[#This Row],[Final Amount]]&lt;500, "Small", Table5[[#This Row],[Final Amount]]&lt;=1000, "Medium", Table5[[#This Row],[Final Amount]]&gt;1000, "Large")</f>
        <v>Medium</v>
      </c>
      <c r="AD28" s="30" t="str">
        <f>_xlfn.LET(_xlpm.expiry,_xlfn.XLOOKUP(Table5[[#This Row],[PromoCode]],Promo_Codes!$A$2:$A$9,Promo_Codes!$F$2:$F$9,DATE(2099,1,1)),IF(Table5[[#This Row],[OrderDate]]&gt;_xlpm.expiry,"Expired Code Used","Valid"))</f>
        <v>Valid</v>
      </c>
    </row>
    <row r="29" spans="1:30" x14ac:dyDescent="0.3">
      <c r="A29" s="28" t="s">
        <v>908</v>
      </c>
      <c r="B29" s="27">
        <v>45892</v>
      </c>
      <c r="C29" s="28" t="s">
        <v>1152</v>
      </c>
      <c r="D29" s="28" t="s">
        <v>1277</v>
      </c>
      <c r="E29" s="27">
        <v>45891</v>
      </c>
      <c r="F29" s="27" t="str">
        <f t="shared" si="0"/>
        <v>New</v>
      </c>
      <c r="G29" s="28" t="s">
        <v>135</v>
      </c>
      <c r="H29" s="28" t="s">
        <v>124</v>
      </c>
      <c r="I29" s="28" t="s">
        <v>125</v>
      </c>
      <c r="J29" s="28" t="s">
        <v>571</v>
      </c>
      <c r="K29" s="29">
        <v>1</v>
      </c>
      <c r="L29" s="28" t="s">
        <v>265</v>
      </c>
      <c r="M29" s="28" t="s">
        <v>140</v>
      </c>
      <c r="N29" s="28"/>
      <c r="O29" s="28" t="s">
        <v>130</v>
      </c>
      <c r="P29" s="28" t="str">
        <f t="shared" si="1"/>
        <v/>
      </c>
      <c r="Q29" s="29">
        <v>4</v>
      </c>
      <c r="R29" s="29">
        <v>27</v>
      </c>
      <c r="S29" s="28" t="s">
        <v>291</v>
      </c>
      <c r="T29" s="30" t="str">
        <f>_xlfn.CONCAT(Table5[[#This Row],[OrderID]]," | ",Table5[[#This Row],[City]]," | ",Table5[[#This Row],[ItemName]])</f>
        <v>ORD-1028 | Kathmandu | Choila (Buff)</v>
      </c>
      <c r="U29" s="30" t="str">
        <f>UPPER(Table5[[#This Row],[City]])</f>
        <v>KATHMANDU</v>
      </c>
      <c r="V29" s="30" t="str">
        <f>LOWER(Table5[[#This Row],[PaymentMethod]])</f>
        <v>cash on delivery</v>
      </c>
      <c r="W29" s="30" cm="1">
        <f t="array" ref="W29">_xlfn.XLOOKUP(TRIM(Table5[[#This Row],[ItemName]]), TRIM(Menu_Price_List_tbl[ItemName]),Menu_Price_List_tbl[UnitPrice_NPR])</f>
        <v>320</v>
      </c>
      <c r="X29" s="31">
        <f t="shared" si="2"/>
        <v>320</v>
      </c>
      <c r="Y29" s="30">
        <f>_xlfn.XLOOKUP(Table5[[#This Row],[City]],City_Delivery_Fee_tbl[City],City_Delivery_Fee_tbl[BaseDeliveryFee_NPR])</f>
        <v>50</v>
      </c>
      <c r="Z2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9" s="31">
        <f>Table5[[#This Row],[Order Amount]]+Table5[[#This Row],[Delivery Fee]]-Table5[[#This Row],[Discount Amount]]</f>
        <v>370</v>
      </c>
      <c r="AB29" s="30" t="str">
        <f>_xlfn.XLOOKUP(Table5[[#This Row],[RiderID]], Rider_Directory!$F$2:$F$26, Rider_Directory!$B$2:$B$26)</f>
        <v>Kathmandu</v>
      </c>
      <c r="AC29" s="30" t="str" cm="1">
        <f t="array" ref="AC29">_xlfn.IFS(Table5[[#This Row],[Final Amount]]&lt;500, "Small", Table5[[#This Row],[Final Amount]]&lt;=1000, "Medium", Table5[[#This Row],[Final Amount]]&gt;1000, "Large")</f>
        <v>Small</v>
      </c>
      <c r="AD29" s="30" t="str">
        <f>_xlfn.LET(_xlpm.expiry,_xlfn.XLOOKUP(Table5[[#This Row],[PromoCode]],Promo_Codes!$A$2:$A$9,Promo_Codes!$F$2:$F$9,DATE(2099,1,1)),IF(Table5[[#This Row],[OrderDate]]&gt;_xlpm.expiry,"Expired Code Used","Valid"))</f>
        <v>Valid</v>
      </c>
    </row>
    <row r="30" spans="1:30" x14ac:dyDescent="0.3">
      <c r="A30" s="28" t="s">
        <v>995</v>
      </c>
      <c r="B30" s="27">
        <v>45893</v>
      </c>
      <c r="C30" s="28" t="s">
        <v>988</v>
      </c>
      <c r="D30" s="28" t="s">
        <v>1224</v>
      </c>
      <c r="E30" s="27">
        <v>45701</v>
      </c>
      <c r="F30" s="27" t="str">
        <f t="shared" si="0"/>
        <v>Returning</v>
      </c>
      <c r="G30" s="28" t="s">
        <v>198</v>
      </c>
      <c r="H30" s="28" t="s">
        <v>216</v>
      </c>
      <c r="I30" s="28" t="s">
        <v>125</v>
      </c>
      <c r="J30" s="28" t="s">
        <v>571</v>
      </c>
      <c r="K30" s="29">
        <v>1</v>
      </c>
      <c r="L30" s="28" t="s">
        <v>201</v>
      </c>
      <c r="M30" s="28" t="s">
        <v>159</v>
      </c>
      <c r="N30" s="28"/>
      <c r="O30" s="28" t="s">
        <v>130</v>
      </c>
      <c r="P30" s="28" t="str">
        <f t="shared" si="1"/>
        <v/>
      </c>
      <c r="Q30" s="29">
        <v>3</v>
      </c>
      <c r="R30" s="29">
        <v>21</v>
      </c>
      <c r="S30" s="28"/>
      <c r="T30" s="30" t="str">
        <f>_xlfn.CONCAT(Table5[[#This Row],[OrderID]]," | ",Table5[[#This Row],[City]]," | ",Table5[[#This Row],[ItemName]])</f>
        <v>ORD-1029 | Lalitpur | Choila (Buff)</v>
      </c>
      <c r="U30" s="30" t="str">
        <f>UPPER(Table5[[#This Row],[City]])</f>
        <v>LALITPUR</v>
      </c>
      <c r="V30" s="30" t="str">
        <f>LOWER(Table5[[#This Row],[PaymentMethod]])</f>
        <v>khalti</v>
      </c>
      <c r="W30" s="30" cm="1">
        <f t="array" ref="W30">_xlfn.XLOOKUP(TRIM(Table5[[#This Row],[ItemName]]), TRIM(Menu_Price_List_tbl[ItemName]),Menu_Price_List_tbl[UnitPrice_NPR])</f>
        <v>320</v>
      </c>
      <c r="X30" s="31">
        <f t="shared" si="2"/>
        <v>320</v>
      </c>
      <c r="Y30" s="30">
        <f>_xlfn.XLOOKUP(Table5[[#This Row],[City]],City_Delivery_Fee_tbl[City],City_Delivery_Fee_tbl[BaseDeliveryFee_NPR])</f>
        <v>50</v>
      </c>
      <c r="Z3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0" s="31">
        <f>Table5[[#This Row],[Order Amount]]+Table5[[#This Row],[Delivery Fee]]-Table5[[#This Row],[Discount Amount]]</f>
        <v>370</v>
      </c>
      <c r="AB30" s="30" t="str">
        <f>_xlfn.XLOOKUP(Table5[[#This Row],[RiderID]], Rider_Directory!$F$2:$F$26, Rider_Directory!$B$2:$B$26)</f>
        <v>Lalitpur</v>
      </c>
      <c r="AC30" s="30" t="str" cm="1">
        <f t="array" ref="AC30">_xlfn.IFS(Table5[[#This Row],[Final Amount]]&lt;500, "Small", Table5[[#This Row],[Final Amount]]&lt;=1000, "Medium", Table5[[#This Row],[Final Amount]]&gt;1000, "Large")</f>
        <v>Small</v>
      </c>
      <c r="AD30" s="30" t="str">
        <f>_xlfn.LET(_xlpm.expiry,_xlfn.XLOOKUP(Table5[[#This Row],[PromoCode]],Promo_Codes!$A$2:$A$9,Promo_Codes!$F$2:$F$9,DATE(2099,1,1)),IF(Table5[[#This Row],[OrderDate]]&gt;_xlpm.expiry,"Expired Code Used","Valid"))</f>
        <v>Valid</v>
      </c>
    </row>
    <row r="31" spans="1:30" x14ac:dyDescent="0.3">
      <c r="A31" s="28" t="s">
        <v>847</v>
      </c>
      <c r="B31" s="27">
        <v>45894</v>
      </c>
      <c r="C31" s="28" t="s">
        <v>546</v>
      </c>
      <c r="D31" s="28" t="s">
        <v>1229</v>
      </c>
      <c r="E31" s="27">
        <v>45892</v>
      </c>
      <c r="F31" s="27" t="str">
        <f t="shared" si="0"/>
        <v>New</v>
      </c>
      <c r="G31" s="28" t="s">
        <v>198</v>
      </c>
      <c r="H31" s="28" t="s">
        <v>192</v>
      </c>
      <c r="I31" s="28" t="s">
        <v>137</v>
      </c>
      <c r="J31" s="28" t="s">
        <v>849</v>
      </c>
      <c r="K31" s="29">
        <v>1</v>
      </c>
      <c r="L31" s="28" t="s">
        <v>251</v>
      </c>
      <c r="M31" s="28" t="s">
        <v>128</v>
      </c>
      <c r="N31" s="28" t="s">
        <v>255</v>
      </c>
      <c r="O31" s="28" t="s">
        <v>130</v>
      </c>
      <c r="P31" s="28" t="str">
        <f t="shared" si="1"/>
        <v/>
      </c>
      <c r="Q31" s="29">
        <v>5</v>
      </c>
      <c r="R31" s="29">
        <v>25</v>
      </c>
      <c r="S31" s="28" t="s">
        <v>202</v>
      </c>
      <c r="T31" s="30" t="str">
        <f>_xlfn.CONCAT(Table5[[#This Row],[OrderID]]," | ",Table5[[#This Row],[City]]," | ",Table5[[#This Row],[ItemName]])</f>
        <v>ORD-1030 | Lalitpur |   Veg Thakali Set</v>
      </c>
      <c r="U31" s="30" t="str">
        <f>UPPER(Table5[[#This Row],[City]])</f>
        <v>LALITPUR</v>
      </c>
      <c r="V31" s="30" t="str">
        <f>LOWER(Table5[[#This Row],[PaymentMethod]])</f>
        <v>esewa</v>
      </c>
      <c r="W31" s="30" cm="1">
        <f t="array" ref="W31">_xlfn.XLOOKUP(TRIM(Table5[[#This Row],[ItemName]]), TRIM(Menu_Price_List_tbl[ItemName]),Menu_Price_List_tbl[UnitPrice_NPR])</f>
        <v>380</v>
      </c>
      <c r="X31" s="31">
        <f t="shared" si="2"/>
        <v>380</v>
      </c>
      <c r="Y31" s="30">
        <f>_xlfn.XLOOKUP(Table5[[#This Row],[City]],City_Delivery_Fee_tbl[City],City_Delivery_Fee_tbl[BaseDeliveryFee_NPR])</f>
        <v>50</v>
      </c>
      <c r="Z3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38</v>
      </c>
      <c r="AA31" s="31">
        <f>Table5[[#This Row],[Order Amount]]+Table5[[#This Row],[Delivery Fee]]-Table5[[#This Row],[Discount Amount]]</f>
        <v>392</v>
      </c>
      <c r="AB31" s="30" t="str">
        <f>_xlfn.XLOOKUP(Table5[[#This Row],[RiderID]], Rider_Directory!$F$2:$F$26, Rider_Directory!$B$2:$B$26)</f>
        <v>Lalitpur</v>
      </c>
      <c r="AC31" s="30" t="str" cm="1">
        <f t="array" ref="AC31">_xlfn.IFS(Table5[[#This Row],[Final Amount]]&lt;500, "Small", Table5[[#This Row],[Final Amount]]&lt;=1000, "Medium", Table5[[#This Row],[Final Amount]]&gt;1000, "Large")</f>
        <v>Small</v>
      </c>
      <c r="AD31" s="30" t="str">
        <f>_xlfn.LET(_xlpm.expiry,_xlfn.XLOOKUP(Table5[[#This Row],[PromoCode]],Promo_Codes!$A$2:$A$9,Promo_Codes!$F$2:$F$9,DATE(2099,1,1)),IF(Table5[[#This Row],[OrderDate]]&gt;_xlpm.expiry,"Expired Code Used","Valid"))</f>
        <v>Valid</v>
      </c>
    </row>
    <row r="32" spans="1:30" x14ac:dyDescent="0.3">
      <c r="A32" s="28" t="s">
        <v>510</v>
      </c>
      <c r="B32" s="27">
        <v>45897</v>
      </c>
      <c r="C32" s="28" t="s">
        <v>511</v>
      </c>
      <c r="D32" s="28" t="s">
        <v>1212</v>
      </c>
      <c r="E32" s="27">
        <v>45895</v>
      </c>
      <c r="F32" s="27" t="str">
        <f t="shared" si="0"/>
        <v>New</v>
      </c>
      <c r="G32" s="28" t="s">
        <v>145</v>
      </c>
      <c r="H32" s="28" t="s">
        <v>178</v>
      </c>
      <c r="I32" s="28" t="s">
        <v>179</v>
      </c>
      <c r="J32" s="28" t="s">
        <v>512</v>
      </c>
      <c r="K32" s="29">
        <v>1</v>
      </c>
      <c r="L32" s="28" t="s">
        <v>307</v>
      </c>
      <c r="M32" s="28" t="s">
        <v>159</v>
      </c>
      <c r="N32" s="28"/>
      <c r="O32" s="28" t="s">
        <v>130</v>
      </c>
      <c r="P32" s="28" t="str">
        <f t="shared" si="1"/>
        <v/>
      </c>
      <c r="Q32" s="29">
        <v>5</v>
      </c>
      <c r="R32" s="29">
        <v>28</v>
      </c>
      <c r="S32" s="28"/>
      <c r="T32" s="30" t="str">
        <f>_xlfn.CONCAT(Table5[[#This Row],[OrderID]]," | ",Table5[[#This Row],[City]]," | ",Table5[[#This Row],[ItemName]])</f>
        <v>ORD-1031 | Chitwan | FRENCH FRIES</v>
      </c>
      <c r="U32" s="30" t="str">
        <f>UPPER(Table5[[#This Row],[City]])</f>
        <v>CHITWAN</v>
      </c>
      <c r="V32" s="30" t="str">
        <f>LOWER(Table5[[#This Row],[PaymentMethod]])</f>
        <v>khalti</v>
      </c>
      <c r="W32" s="30" cm="1">
        <f t="array" ref="W32">_xlfn.XLOOKUP(TRIM(Table5[[#This Row],[ItemName]]), TRIM(Menu_Price_List_tbl[ItemName]),Menu_Price_List_tbl[UnitPrice_NPR])</f>
        <v>160</v>
      </c>
      <c r="X32" s="31">
        <f t="shared" si="2"/>
        <v>160</v>
      </c>
      <c r="Y32" s="30">
        <f>_xlfn.XLOOKUP(Table5[[#This Row],[City]],City_Delivery_Fee_tbl[City],City_Delivery_Fee_tbl[BaseDeliveryFee_NPR])</f>
        <v>80</v>
      </c>
      <c r="Z3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2" s="31">
        <f>Table5[[#This Row],[Order Amount]]+Table5[[#This Row],[Delivery Fee]]-Table5[[#This Row],[Discount Amount]]</f>
        <v>240</v>
      </c>
      <c r="AB32" s="30" t="str">
        <f>_xlfn.XLOOKUP(Table5[[#This Row],[RiderID]], Rider_Directory!$F$2:$F$26, Rider_Directory!$B$2:$B$26)</f>
        <v>Chitwan</v>
      </c>
      <c r="AC32" s="30" t="str" cm="1">
        <f t="array" ref="AC32">_xlfn.IFS(Table5[[#This Row],[Final Amount]]&lt;500, "Small", Table5[[#This Row],[Final Amount]]&lt;=1000, "Medium", Table5[[#This Row],[Final Amount]]&gt;1000, "Large")</f>
        <v>Small</v>
      </c>
      <c r="AD32" s="30" t="str">
        <f>_xlfn.LET(_xlpm.expiry,_xlfn.XLOOKUP(Table5[[#This Row],[PromoCode]],Promo_Codes!$A$2:$A$9,Promo_Codes!$F$2:$F$9,DATE(2099,1,1)),IF(Table5[[#This Row],[OrderDate]]&gt;_xlpm.expiry,"Expired Code Used","Valid"))</f>
        <v>Valid</v>
      </c>
    </row>
    <row r="33" spans="1:30" x14ac:dyDescent="0.3">
      <c r="A33" s="28" t="s">
        <v>900</v>
      </c>
      <c r="B33" s="27">
        <v>45897</v>
      </c>
      <c r="C33" s="28" t="s">
        <v>631</v>
      </c>
      <c r="D33" s="28" t="s">
        <v>1193</v>
      </c>
      <c r="E33" s="27">
        <v>45897</v>
      </c>
      <c r="F33" s="27" t="str">
        <f t="shared" si="0"/>
        <v>New</v>
      </c>
      <c r="G33" s="28" t="s">
        <v>135</v>
      </c>
      <c r="H33" s="28" t="s">
        <v>178</v>
      </c>
      <c r="I33" s="28" t="s">
        <v>179</v>
      </c>
      <c r="J33" s="28" t="s">
        <v>200</v>
      </c>
      <c r="K33" s="29">
        <v>1</v>
      </c>
      <c r="L33" s="28" t="s">
        <v>277</v>
      </c>
      <c r="M33" s="28" t="s">
        <v>140</v>
      </c>
      <c r="N33" s="28"/>
      <c r="O33" s="28" t="s">
        <v>130</v>
      </c>
      <c r="P33" s="28" t="str">
        <f t="shared" si="1"/>
        <v/>
      </c>
      <c r="Q33" s="29">
        <v>4</v>
      </c>
      <c r="R33" s="29">
        <v>520</v>
      </c>
      <c r="S33" s="28"/>
      <c r="T33" s="30" t="str">
        <f>_xlfn.CONCAT(Table5[[#This Row],[OrderID]]," | ",Table5[[#This Row],[City]]," | ",Table5[[#This Row],[ItemName]])</f>
        <v>ORD-1032 | Kathmandu | Chicken Pizza</v>
      </c>
      <c r="U33" s="30" t="str">
        <f>UPPER(Table5[[#This Row],[City]])</f>
        <v>KATHMANDU</v>
      </c>
      <c r="V33" s="30" t="str">
        <f>LOWER(Table5[[#This Row],[PaymentMethod]])</f>
        <v>cash on delivery</v>
      </c>
      <c r="W33" s="30" cm="1">
        <f t="array" ref="W33">_xlfn.XLOOKUP(TRIM(Table5[[#This Row],[ItemName]]), TRIM(Menu_Price_List_tbl[ItemName]),Menu_Price_List_tbl[UnitPrice_NPR])</f>
        <v>650</v>
      </c>
      <c r="X33" s="31">
        <f t="shared" si="2"/>
        <v>650</v>
      </c>
      <c r="Y33" s="30">
        <f>_xlfn.XLOOKUP(Table5[[#This Row],[City]],City_Delivery_Fee_tbl[City],City_Delivery_Fee_tbl[BaseDeliveryFee_NPR])</f>
        <v>50</v>
      </c>
      <c r="Z3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3" s="31">
        <f>Table5[[#This Row],[Order Amount]]+Table5[[#This Row],[Delivery Fee]]-Table5[[#This Row],[Discount Amount]]</f>
        <v>700</v>
      </c>
      <c r="AB33" s="30" t="str">
        <f>_xlfn.XLOOKUP(Table5[[#This Row],[RiderID]], Rider_Directory!$F$2:$F$26, Rider_Directory!$B$2:$B$26)</f>
        <v>Kathmandu</v>
      </c>
      <c r="AC33" s="30" t="str" cm="1">
        <f t="array" ref="AC33">_xlfn.IFS(Table5[[#This Row],[Final Amount]]&lt;500, "Small", Table5[[#This Row],[Final Amount]]&lt;=1000, "Medium", Table5[[#This Row],[Final Amount]]&gt;1000, "Large")</f>
        <v>Medium</v>
      </c>
      <c r="AD33" s="30" t="str">
        <f>_xlfn.LET(_xlpm.expiry,_xlfn.XLOOKUP(Table5[[#This Row],[PromoCode]],Promo_Codes!$A$2:$A$9,Promo_Codes!$F$2:$F$9,DATE(2099,1,1)),IF(Table5[[#This Row],[OrderDate]]&gt;_xlpm.expiry,"Expired Code Used","Valid"))</f>
        <v>Valid</v>
      </c>
    </row>
    <row r="34" spans="1:30" x14ac:dyDescent="0.3">
      <c r="A34" s="28" t="s">
        <v>901</v>
      </c>
      <c r="B34" s="27">
        <v>45898</v>
      </c>
      <c r="C34" s="28" t="s">
        <v>750</v>
      </c>
      <c r="D34" s="28" t="s">
        <v>1261</v>
      </c>
      <c r="E34" s="27">
        <v>45880</v>
      </c>
      <c r="F34" s="27" t="str">
        <f t="shared" si="0"/>
        <v>Returning</v>
      </c>
      <c r="G34" s="28" t="s">
        <v>206</v>
      </c>
      <c r="H34" s="28" t="s">
        <v>146</v>
      </c>
      <c r="I34" s="28" t="s">
        <v>147</v>
      </c>
      <c r="J34" s="28" t="s">
        <v>148</v>
      </c>
      <c r="K34" s="29">
        <v>2</v>
      </c>
      <c r="L34" s="28" t="s">
        <v>353</v>
      </c>
      <c r="M34" s="28" t="s">
        <v>128</v>
      </c>
      <c r="N34" s="28"/>
      <c r="O34" s="28" t="s">
        <v>130</v>
      </c>
      <c r="P34" s="28" t="str">
        <f t="shared" si="1"/>
        <v/>
      </c>
      <c r="Q34" s="28"/>
      <c r="R34" s="29">
        <v>43</v>
      </c>
      <c r="S34" s="28"/>
      <c r="T34" s="30" t="str">
        <f>_xlfn.CONCAT(Table5[[#This Row],[OrderID]]," | ",Table5[[#This Row],[City]]," | ",Table5[[#This Row],[ItemName]])</f>
        <v>ORD-1033 | Pokhara | Barfi (5 pcs)</v>
      </c>
      <c r="U34" s="30" t="str">
        <f>UPPER(Table5[[#This Row],[City]])</f>
        <v>POKHARA</v>
      </c>
      <c r="V34" s="30" t="str">
        <f>LOWER(Table5[[#This Row],[PaymentMethod]])</f>
        <v>esewa</v>
      </c>
      <c r="W34" s="30" cm="1">
        <f t="array" ref="W34">_xlfn.XLOOKUP(TRIM(Table5[[#This Row],[ItemName]]), TRIM(Menu_Price_List_tbl[ItemName]),Menu_Price_List_tbl[UnitPrice_NPR])</f>
        <v>220</v>
      </c>
      <c r="X34" s="31">
        <f t="shared" si="2"/>
        <v>440</v>
      </c>
      <c r="Y34" s="30">
        <f>_xlfn.XLOOKUP(Table5[[#This Row],[City]],City_Delivery_Fee_tbl[City],City_Delivery_Fee_tbl[BaseDeliveryFee_NPR])</f>
        <v>70</v>
      </c>
      <c r="Z3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4" s="31">
        <f>Table5[[#This Row],[Order Amount]]+Table5[[#This Row],[Delivery Fee]]-Table5[[#This Row],[Discount Amount]]</f>
        <v>510</v>
      </c>
      <c r="AB34" s="30" t="str">
        <f>_xlfn.XLOOKUP(Table5[[#This Row],[RiderID]], Rider_Directory!$F$2:$F$26, Rider_Directory!$B$2:$B$26)</f>
        <v>Pokhara</v>
      </c>
      <c r="AC34" s="30" t="str" cm="1">
        <f t="array" ref="AC34">_xlfn.IFS(Table5[[#This Row],[Final Amount]]&lt;500, "Small", Table5[[#This Row],[Final Amount]]&lt;=1000, "Medium", Table5[[#This Row],[Final Amount]]&gt;1000, "Large")</f>
        <v>Medium</v>
      </c>
      <c r="AD34" s="30" t="str">
        <f>_xlfn.LET(_xlpm.expiry,_xlfn.XLOOKUP(Table5[[#This Row],[PromoCode]],Promo_Codes!$A$2:$A$9,Promo_Codes!$F$2:$F$9,DATE(2099,1,1)),IF(Table5[[#This Row],[OrderDate]]&gt;_xlpm.expiry,"Expired Code Used","Valid"))</f>
        <v>Valid</v>
      </c>
    </row>
    <row r="35" spans="1:30" x14ac:dyDescent="0.3">
      <c r="A35" s="28" t="s">
        <v>901</v>
      </c>
      <c r="B35" s="27">
        <v>45898</v>
      </c>
      <c r="C35" s="28" t="s">
        <v>750</v>
      </c>
      <c r="D35" s="28" t="s">
        <v>1261</v>
      </c>
      <c r="E35" s="27">
        <v>45880</v>
      </c>
      <c r="F35" s="27" t="str">
        <f t="shared" si="0"/>
        <v>Returning</v>
      </c>
      <c r="G35" s="28" t="s">
        <v>206</v>
      </c>
      <c r="H35" s="28" t="s">
        <v>146</v>
      </c>
      <c r="I35" s="28" t="s">
        <v>147</v>
      </c>
      <c r="J35" s="28" t="s">
        <v>148</v>
      </c>
      <c r="K35" s="29">
        <v>3</v>
      </c>
      <c r="L35" s="28" t="s">
        <v>353</v>
      </c>
      <c r="M35" s="28" t="s">
        <v>128</v>
      </c>
      <c r="N35" s="28"/>
      <c r="O35" s="28" t="s">
        <v>130</v>
      </c>
      <c r="P35" s="28" t="str">
        <f t="shared" si="1"/>
        <v/>
      </c>
      <c r="Q35" s="29">
        <v>5</v>
      </c>
      <c r="R35" s="29">
        <v>43</v>
      </c>
      <c r="S35" s="28"/>
      <c r="T35" s="30" t="str">
        <f>_xlfn.CONCAT(Table5[[#This Row],[OrderID]]," | ",Table5[[#This Row],[City]]," | ",Table5[[#This Row],[ItemName]])</f>
        <v>ORD-1033 | Pokhara | Barfi (5 pcs)</v>
      </c>
      <c r="U35" s="30" t="str">
        <f>UPPER(Table5[[#This Row],[City]])</f>
        <v>POKHARA</v>
      </c>
      <c r="V35" s="30" t="str">
        <f>LOWER(Table5[[#This Row],[PaymentMethod]])</f>
        <v>esewa</v>
      </c>
      <c r="W35" s="30" cm="1">
        <f t="array" ref="W35">_xlfn.XLOOKUP(TRIM(Table5[[#This Row],[ItemName]]), TRIM(Menu_Price_List_tbl[ItemName]),Menu_Price_List_tbl[UnitPrice_NPR])</f>
        <v>220</v>
      </c>
      <c r="X35" s="31">
        <f t="shared" si="2"/>
        <v>660</v>
      </c>
      <c r="Y35" s="30">
        <f>_xlfn.XLOOKUP(Table5[[#This Row],[City]],City_Delivery_Fee_tbl[City],City_Delivery_Fee_tbl[BaseDeliveryFee_NPR])</f>
        <v>70</v>
      </c>
      <c r="Z3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5" s="31">
        <f>Table5[[#This Row],[Order Amount]]+Table5[[#This Row],[Delivery Fee]]-Table5[[#This Row],[Discount Amount]]</f>
        <v>730</v>
      </c>
      <c r="AB35" s="30" t="str">
        <f>_xlfn.XLOOKUP(Table5[[#This Row],[RiderID]], Rider_Directory!$F$2:$F$26, Rider_Directory!$B$2:$B$26)</f>
        <v>Pokhara</v>
      </c>
      <c r="AC35" s="30" t="str" cm="1">
        <f t="array" ref="AC35">_xlfn.IFS(Table5[[#This Row],[Final Amount]]&lt;500, "Small", Table5[[#This Row],[Final Amount]]&lt;=1000, "Medium", Table5[[#This Row],[Final Amount]]&gt;1000, "Large")</f>
        <v>Medium</v>
      </c>
      <c r="AD35" s="30" t="str">
        <f>_xlfn.LET(_xlpm.expiry,_xlfn.XLOOKUP(Table5[[#This Row],[PromoCode]],Promo_Codes!$A$2:$A$9,Promo_Codes!$F$2:$F$9,DATE(2099,1,1)),IF(Table5[[#This Row],[OrderDate]]&gt;_xlpm.expiry,"Expired Code Used","Valid"))</f>
        <v>Valid</v>
      </c>
    </row>
    <row r="36" spans="1:30" x14ac:dyDescent="0.3">
      <c r="A36" s="28" t="s">
        <v>962</v>
      </c>
      <c r="B36" s="27">
        <v>45898</v>
      </c>
      <c r="C36" s="28" t="s">
        <v>705</v>
      </c>
      <c r="D36" s="28" t="s">
        <v>1253</v>
      </c>
      <c r="E36" s="27">
        <v>45898</v>
      </c>
      <c r="F36" s="27" t="str">
        <f t="shared" si="0"/>
        <v>New</v>
      </c>
      <c r="G36" s="28" t="s">
        <v>135</v>
      </c>
      <c r="H36" s="28" t="s">
        <v>216</v>
      </c>
      <c r="I36" s="28" t="s">
        <v>125</v>
      </c>
      <c r="J36" s="28" t="s">
        <v>382</v>
      </c>
      <c r="K36" s="29">
        <v>1</v>
      </c>
      <c r="L36" s="28" t="s">
        <v>265</v>
      </c>
      <c r="M36" s="28" t="s">
        <v>159</v>
      </c>
      <c r="N36" s="28"/>
      <c r="O36" s="28" t="s">
        <v>130</v>
      </c>
      <c r="P36" s="28" t="str">
        <f t="shared" si="1"/>
        <v/>
      </c>
      <c r="Q36" s="29">
        <v>5</v>
      </c>
      <c r="R36" s="29">
        <v>15</v>
      </c>
      <c r="S36" s="28"/>
      <c r="T36" s="30" t="str">
        <f>_xlfn.CONCAT(Table5[[#This Row],[OrderID]]," | ",Table5[[#This Row],[City]]," | ",Table5[[#This Row],[ItemName]])</f>
        <v>ORD-1034 | Kathmandu | Yomari</v>
      </c>
      <c r="U36" s="30" t="str">
        <f>UPPER(Table5[[#This Row],[City]])</f>
        <v>KATHMANDU</v>
      </c>
      <c r="V36" s="30" t="str">
        <f>LOWER(Table5[[#This Row],[PaymentMethod]])</f>
        <v>khalti</v>
      </c>
      <c r="W36" s="30" cm="1">
        <f t="array" ref="W36">_xlfn.XLOOKUP(TRIM(Table5[[#This Row],[ItemName]]), TRIM(Menu_Price_List_tbl[ItemName]),Menu_Price_List_tbl[UnitPrice_NPR])</f>
        <v>180</v>
      </c>
      <c r="X36" s="31">
        <f t="shared" si="2"/>
        <v>180</v>
      </c>
      <c r="Y36" s="30">
        <f>_xlfn.XLOOKUP(Table5[[#This Row],[City]],City_Delivery_Fee_tbl[City],City_Delivery_Fee_tbl[BaseDeliveryFee_NPR])</f>
        <v>50</v>
      </c>
      <c r="Z3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6" s="31">
        <f>Table5[[#This Row],[Order Amount]]+Table5[[#This Row],[Delivery Fee]]-Table5[[#This Row],[Discount Amount]]</f>
        <v>230</v>
      </c>
      <c r="AB36" s="30" t="str">
        <f>_xlfn.XLOOKUP(Table5[[#This Row],[RiderID]], Rider_Directory!$F$2:$F$26, Rider_Directory!$B$2:$B$26)</f>
        <v>Kathmandu</v>
      </c>
      <c r="AC36" s="30" t="str" cm="1">
        <f t="array" ref="AC36">_xlfn.IFS(Table5[[#This Row],[Final Amount]]&lt;500, "Small", Table5[[#This Row],[Final Amount]]&lt;=1000, "Medium", Table5[[#This Row],[Final Amount]]&gt;1000, "Large")</f>
        <v>Small</v>
      </c>
      <c r="AD36" s="30" t="str">
        <f>_xlfn.LET(_xlpm.expiry,_xlfn.XLOOKUP(Table5[[#This Row],[PromoCode]],Promo_Codes!$A$2:$A$9,Promo_Codes!$F$2:$F$9,DATE(2099,1,1)),IF(Table5[[#This Row],[OrderDate]]&gt;_xlpm.expiry,"Expired Code Used","Valid"))</f>
        <v>Valid</v>
      </c>
    </row>
    <row r="37" spans="1:30" x14ac:dyDescent="0.3">
      <c r="A37" s="28" t="s">
        <v>800</v>
      </c>
      <c r="B37" s="27">
        <v>45900</v>
      </c>
      <c r="C37" s="28" t="s">
        <v>801</v>
      </c>
      <c r="D37" s="28" t="s">
        <v>1263</v>
      </c>
      <c r="E37" s="27">
        <v>45820</v>
      </c>
      <c r="F37" s="27" t="str">
        <f t="shared" si="0"/>
        <v>Returning</v>
      </c>
      <c r="G37" s="28" t="s">
        <v>145</v>
      </c>
      <c r="H37" s="28" t="s">
        <v>155</v>
      </c>
      <c r="I37" s="28" t="s">
        <v>156</v>
      </c>
      <c r="J37" s="28" t="s">
        <v>389</v>
      </c>
      <c r="K37" s="29">
        <v>1</v>
      </c>
      <c r="L37" s="28" t="s">
        <v>307</v>
      </c>
      <c r="M37" s="28" t="s">
        <v>159</v>
      </c>
      <c r="N37" s="28"/>
      <c r="O37" s="28" t="s">
        <v>130</v>
      </c>
      <c r="P37" s="28" t="str">
        <f t="shared" si="1"/>
        <v/>
      </c>
      <c r="Q37" s="29">
        <v>4</v>
      </c>
      <c r="R37" s="29">
        <v>46</v>
      </c>
      <c r="S37" s="28"/>
      <c r="T37" s="30" t="str">
        <f>_xlfn.CONCAT(Table5[[#This Row],[OrderID]]," | ",Table5[[#This Row],[City]]," | ",Table5[[#This Row],[ItemName]])</f>
        <v>ORD-1035 | Chitwan | Veg Chopsuey</v>
      </c>
      <c r="U37" s="30" t="str">
        <f>UPPER(Table5[[#This Row],[City]])</f>
        <v>CHITWAN</v>
      </c>
      <c r="V37" s="30" t="str">
        <f>LOWER(Table5[[#This Row],[PaymentMethod]])</f>
        <v>khalti</v>
      </c>
      <c r="W37" s="30" cm="1">
        <f t="array" ref="W37">_xlfn.XLOOKUP(TRIM(Table5[[#This Row],[ItemName]]), TRIM(Menu_Price_List_tbl[ItemName]),Menu_Price_List_tbl[UnitPrice_NPR])</f>
        <v>260</v>
      </c>
      <c r="X37" s="31">
        <f t="shared" si="2"/>
        <v>260</v>
      </c>
      <c r="Y37" s="30">
        <f>_xlfn.XLOOKUP(Table5[[#This Row],[City]],City_Delivery_Fee_tbl[City],City_Delivery_Fee_tbl[BaseDeliveryFee_NPR])</f>
        <v>80</v>
      </c>
      <c r="Z3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7" s="31">
        <f>Table5[[#This Row],[Order Amount]]+Table5[[#This Row],[Delivery Fee]]-Table5[[#This Row],[Discount Amount]]</f>
        <v>340</v>
      </c>
      <c r="AB37" s="30" t="str">
        <f>_xlfn.XLOOKUP(Table5[[#This Row],[RiderID]], Rider_Directory!$F$2:$F$26, Rider_Directory!$B$2:$B$26)</f>
        <v>Chitwan</v>
      </c>
      <c r="AC37" s="30" t="str" cm="1">
        <f t="array" ref="AC37">_xlfn.IFS(Table5[[#This Row],[Final Amount]]&lt;500, "Small", Table5[[#This Row],[Final Amount]]&lt;=1000, "Medium", Table5[[#This Row],[Final Amount]]&gt;1000, "Large")</f>
        <v>Small</v>
      </c>
      <c r="AD37" s="30" t="str">
        <f>_xlfn.LET(_xlpm.expiry,_xlfn.XLOOKUP(Table5[[#This Row],[PromoCode]],Promo_Codes!$A$2:$A$9,Promo_Codes!$F$2:$F$9,DATE(2099,1,1)),IF(Table5[[#This Row],[OrderDate]]&gt;_xlpm.expiry,"Expired Code Used","Valid"))</f>
        <v>Valid</v>
      </c>
    </row>
    <row r="38" spans="1:30" x14ac:dyDescent="0.3">
      <c r="A38" s="28" t="s">
        <v>724</v>
      </c>
      <c r="B38" s="27">
        <v>45901</v>
      </c>
      <c r="C38" s="28" t="s">
        <v>1134</v>
      </c>
      <c r="D38" s="28" t="s">
        <v>1230</v>
      </c>
      <c r="E38" s="27">
        <v>45901</v>
      </c>
      <c r="F38" s="27" t="str">
        <f t="shared" si="0"/>
        <v>New</v>
      </c>
      <c r="G38" s="28" t="s">
        <v>170</v>
      </c>
      <c r="H38" s="28" t="s">
        <v>199</v>
      </c>
      <c r="I38" s="28" t="s">
        <v>179</v>
      </c>
      <c r="J38" s="28" t="s">
        <v>465</v>
      </c>
      <c r="K38" s="29">
        <v>2</v>
      </c>
      <c r="L38" s="28" t="s">
        <v>173</v>
      </c>
      <c r="M38" s="28" t="s">
        <v>128</v>
      </c>
      <c r="N38" s="28"/>
      <c r="O38" s="28" t="s">
        <v>130</v>
      </c>
      <c r="P38" s="28" t="str">
        <f t="shared" si="1"/>
        <v/>
      </c>
      <c r="Q38" s="29">
        <v>2</v>
      </c>
      <c r="R38" s="29">
        <v>30</v>
      </c>
      <c r="S38" s="28"/>
      <c r="T38" s="30" t="str">
        <f>_xlfn.CONCAT(Table5[[#This Row],[OrderID]]," | ",Table5[[#This Row],[City]]," | ",Table5[[#This Row],[ItemName]])</f>
        <v>ORD-1036 | Butwal | French Fries</v>
      </c>
      <c r="U38" s="30" t="str">
        <f>UPPER(Table5[[#This Row],[City]])</f>
        <v>BUTWAL</v>
      </c>
      <c r="V38" s="30" t="str">
        <f>LOWER(Table5[[#This Row],[PaymentMethod]])</f>
        <v>esewa</v>
      </c>
      <c r="W38" s="30" cm="1">
        <f t="array" ref="W38">_xlfn.XLOOKUP(TRIM(Table5[[#This Row],[ItemName]]), TRIM(Menu_Price_List_tbl[ItemName]),Menu_Price_List_tbl[UnitPrice_NPR])</f>
        <v>160</v>
      </c>
      <c r="X38" s="31">
        <f t="shared" si="2"/>
        <v>320</v>
      </c>
      <c r="Y38" s="30">
        <f>_xlfn.XLOOKUP(Table5[[#This Row],[City]],City_Delivery_Fee_tbl[City],City_Delivery_Fee_tbl[BaseDeliveryFee_NPR])</f>
        <v>85</v>
      </c>
      <c r="Z3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8" s="31">
        <f>Table5[[#This Row],[Order Amount]]+Table5[[#This Row],[Delivery Fee]]-Table5[[#This Row],[Discount Amount]]</f>
        <v>405</v>
      </c>
      <c r="AB38" s="30" t="str">
        <f>_xlfn.XLOOKUP(Table5[[#This Row],[RiderID]], Rider_Directory!$F$2:$F$26, Rider_Directory!$B$2:$B$26)</f>
        <v>Butwal</v>
      </c>
      <c r="AC38" s="30" t="str" cm="1">
        <f t="array" ref="AC38">_xlfn.IFS(Table5[[#This Row],[Final Amount]]&lt;500, "Small", Table5[[#This Row],[Final Amount]]&lt;=1000, "Medium", Table5[[#This Row],[Final Amount]]&gt;1000, "Large")</f>
        <v>Small</v>
      </c>
      <c r="AD38" s="30" t="str">
        <f>_xlfn.LET(_xlpm.expiry,_xlfn.XLOOKUP(Table5[[#This Row],[PromoCode]],Promo_Codes!$A$2:$A$9,Promo_Codes!$F$2:$F$9,DATE(2099,1,1)),IF(Table5[[#This Row],[OrderDate]]&gt;_xlpm.expiry,"Expired Code Used","Valid"))</f>
        <v>Valid</v>
      </c>
    </row>
    <row r="39" spans="1:30" x14ac:dyDescent="0.3">
      <c r="A39" s="28" t="s">
        <v>779</v>
      </c>
      <c r="B39" s="27">
        <v>45901</v>
      </c>
      <c r="C39" s="28" t="s">
        <v>1146</v>
      </c>
      <c r="D39" s="28" t="s">
        <v>1264</v>
      </c>
      <c r="E39" s="27">
        <v>45722</v>
      </c>
      <c r="F39" s="27" t="str">
        <f t="shared" si="0"/>
        <v>Returning</v>
      </c>
      <c r="G39" s="28" t="s">
        <v>135</v>
      </c>
      <c r="H39" s="28" t="s">
        <v>199</v>
      </c>
      <c r="I39" s="28" t="s">
        <v>179</v>
      </c>
      <c r="J39" s="28" t="s">
        <v>465</v>
      </c>
      <c r="K39" s="29">
        <v>1</v>
      </c>
      <c r="L39" s="28" t="s">
        <v>139</v>
      </c>
      <c r="M39" s="28" t="s">
        <v>247</v>
      </c>
      <c r="N39" s="28"/>
      <c r="O39" s="28" t="s">
        <v>279</v>
      </c>
      <c r="P39" s="28" t="str">
        <f t="shared" si="1"/>
        <v/>
      </c>
      <c r="Q39" s="28"/>
      <c r="R39" s="29">
        <v>8</v>
      </c>
      <c r="S39" s="28" t="s">
        <v>280</v>
      </c>
      <c r="T39" s="30" t="str">
        <f>_xlfn.CONCAT(Table5[[#This Row],[OrderID]]," | ",Table5[[#This Row],[City]]," | ",Table5[[#This Row],[ItemName]])</f>
        <v>ORD-1037 | Kathmandu | French Fries</v>
      </c>
      <c r="U39" s="30" t="str">
        <f>UPPER(Table5[[#This Row],[City]])</f>
        <v>KATHMANDU</v>
      </c>
      <c r="V39" s="30" t="str">
        <f>LOWER(Table5[[#This Row],[PaymentMethod]])</f>
        <v>ime pay</v>
      </c>
      <c r="W39" s="30" cm="1">
        <f t="array" ref="W39">_xlfn.XLOOKUP(TRIM(Table5[[#This Row],[ItemName]]), TRIM(Menu_Price_List_tbl[ItemName]),Menu_Price_List_tbl[UnitPrice_NPR])</f>
        <v>160</v>
      </c>
      <c r="X39" s="31">
        <f t="shared" si="2"/>
        <v>160</v>
      </c>
      <c r="Y39" s="30">
        <f>_xlfn.XLOOKUP(Table5[[#This Row],[City]],City_Delivery_Fee_tbl[City],City_Delivery_Fee_tbl[BaseDeliveryFee_NPR])</f>
        <v>50</v>
      </c>
      <c r="Z3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9" s="31">
        <f>Table5[[#This Row],[Order Amount]]+Table5[[#This Row],[Delivery Fee]]-Table5[[#This Row],[Discount Amount]]</f>
        <v>210</v>
      </c>
      <c r="AB39" s="30" t="str">
        <f>_xlfn.XLOOKUP(Table5[[#This Row],[RiderID]], Rider_Directory!$F$2:$F$26, Rider_Directory!$B$2:$B$26)</f>
        <v>Kathmandu</v>
      </c>
      <c r="AC39" s="30" t="str" cm="1">
        <f t="array" ref="AC39">_xlfn.IFS(Table5[[#This Row],[Final Amount]]&lt;500, "Small", Table5[[#This Row],[Final Amount]]&lt;=1000, "Medium", Table5[[#This Row],[Final Amount]]&gt;1000, "Large")</f>
        <v>Small</v>
      </c>
      <c r="AD39" s="30" t="str">
        <f>_xlfn.LET(_xlpm.expiry,_xlfn.XLOOKUP(Table5[[#This Row],[PromoCode]],Promo_Codes!$A$2:$A$9,Promo_Codes!$F$2:$F$9,DATE(2099,1,1)),IF(Table5[[#This Row],[OrderDate]]&gt;_xlpm.expiry,"Expired Code Used","Valid"))</f>
        <v>Valid</v>
      </c>
    </row>
    <row r="40" spans="1:30" x14ac:dyDescent="0.3">
      <c r="A40" s="28" t="s">
        <v>462</v>
      </c>
      <c r="B40" s="27">
        <v>45901</v>
      </c>
      <c r="C40" s="28" t="s">
        <v>463</v>
      </c>
      <c r="D40" s="28" t="s">
        <v>1216</v>
      </c>
      <c r="E40" s="27">
        <v>45721</v>
      </c>
      <c r="F40" s="27" t="str">
        <f t="shared" si="0"/>
        <v>Returning</v>
      </c>
      <c r="G40" s="28" t="s">
        <v>135</v>
      </c>
      <c r="H40" s="28" t="s">
        <v>178</v>
      </c>
      <c r="I40" s="28" t="s">
        <v>179</v>
      </c>
      <c r="J40" s="28" t="s">
        <v>465</v>
      </c>
      <c r="K40" s="29">
        <v>2</v>
      </c>
      <c r="L40" s="28" t="s">
        <v>139</v>
      </c>
      <c r="M40" s="28" t="s">
        <v>128</v>
      </c>
      <c r="N40" s="28"/>
      <c r="O40" s="28" t="s">
        <v>130</v>
      </c>
      <c r="P40" s="28" t="str">
        <f t="shared" si="1"/>
        <v/>
      </c>
      <c r="Q40" s="29">
        <v>4</v>
      </c>
      <c r="R40" s="29">
        <v>41</v>
      </c>
      <c r="S40" s="28"/>
      <c r="T40" s="30" t="str">
        <f>_xlfn.CONCAT(Table5[[#This Row],[OrderID]]," | ",Table5[[#This Row],[City]]," | ",Table5[[#This Row],[ItemName]])</f>
        <v>ORD-1038 | Kathmandu | French Fries</v>
      </c>
      <c r="U40" s="30" t="str">
        <f>UPPER(Table5[[#This Row],[City]])</f>
        <v>KATHMANDU</v>
      </c>
      <c r="V40" s="30" t="str">
        <f>LOWER(Table5[[#This Row],[PaymentMethod]])</f>
        <v>esewa</v>
      </c>
      <c r="W40" s="30" cm="1">
        <f t="array" ref="W40">_xlfn.XLOOKUP(TRIM(Table5[[#This Row],[ItemName]]), TRIM(Menu_Price_List_tbl[ItemName]),Menu_Price_List_tbl[UnitPrice_NPR])</f>
        <v>160</v>
      </c>
      <c r="X40" s="31">
        <f t="shared" si="2"/>
        <v>320</v>
      </c>
      <c r="Y40" s="30">
        <f>_xlfn.XLOOKUP(Table5[[#This Row],[City]],City_Delivery_Fee_tbl[City],City_Delivery_Fee_tbl[BaseDeliveryFee_NPR])</f>
        <v>50</v>
      </c>
      <c r="Z4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40" s="31">
        <f>Table5[[#This Row],[Order Amount]]+Table5[[#This Row],[Delivery Fee]]-Table5[[#This Row],[Discount Amount]]</f>
        <v>370</v>
      </c>
      <c r="AB40" s="30" t="str">
        <f>_xlfn.XLOOKUP(Table5[[#This Row],[RiderID]], Rider_Directory!$F$2:$F$26, Rider_Directory!$B$2:$B$26)</f>
        <v>Kathmandu</v>
      </c>
      <c r="AC40" s="30" t="str" cm="1">
        <f t="array" ref="AC40">_xlfn.IFS(Table5[[#This Row],[Final Amount]]&lt;500, "Small", Table5[[#This Row],[Final Amount]]&lt;=1000, "Medium", Table5[[#This Row],[Final Amount]]&gt;1000, "Large")</f>
        <v>Small</v>
      </c>
      <c r="AD40" s="30" t="str">
        <f>_xlfn.LET(_xlpm.expiry,_xlfn.XLOOKUP(Table5[[#This Row],[PromoCode]],Promo_Codes!$A$2:$A$9,Promo_Codes!$F$2:$F$9,DATE(2099,1,1)),IF(Table5[[#This Row],[OrderDate]]&gt;_xlpm.expiry,"Expired Code Used","Valid"))</f>
        <v>Valid</v>
      </c>
    </row>
    <row r="41" spans="1:30" x14ac:dyDescent="0.3">
      <c r="A41" s="28" t="s">
        <v>839</v>
      </c>
      <c r="B41" s="27">
        <v>45901</v>
      </c>
      <c r="C41" s="28" t="s">
        <v>1151</v>
      </c>
      <c r="D41" s="28" t="s">
        <v>1272</v>
      </c>
      <c r="E41" s="27">
        <v>45680</v>
      </c>
      <c r="F41" s="27" t="str">
        <f t="shared" si="0"/>
        <v>Returning</v>
      </c>
      <c r="G41" s="28" t="s">
        <v>206</v>
      </c>
      <c r="H41" s="28" t="s">
        <v>331</v>
      </c>
      <c r="I41" s="28" t="s">
        <v>164</v>
      </c>
      <c r="J41" s="28" t="s">
        <v>393</v>
      </c>
      <c r="K41" s="29">
        <v>2</v>
      </c>
      <c r="L41" s="28" t="s">
        <v>208</v>
      </c>
      <c r="M41" s="28" t="s">
        <v>140</v>
      </c>
      <c r="N41" s="28" t="s">
        <v>255</v>
      </c>
      <c r="O41" s="28" t="s">
        <v>235</v>
      </c>
      <c r="P41" s="28" t="str">
        <f t="shared" si="1"/>
        <v/>
      </c>
      <c r="Q41" s="28"/>
      <c r="R41" s="29">
        <v>55</v>
      </c>
      <c r="S41" s="28" t="s">
        <v>284</v>
      </c>
      <c r="T41" s="30" t="str">
        <f>_xlfn.CONCAT(Table5[[#This Row],[OrderID]]," | ",Table5[[#This Row],[City]]," | ",Table5[[#This Row],[ItemName]])</f>
        <v>ORD-1039 | Pokhara | Lemon Soda</v>
      </c>
      <c r="U41" s="30" t="str">
        <f>UPPER(Table5[[#This Row],[City]])</f>
        <v>POKHARA</v>
      </c>
      <c r="V41" s="30" t="str">
        <f>LOWER(Table5[[#This Row],[PaymentMethod]])</f>
        <v>cash on delivery</v>
      </c>
      <c r="W41" s="30" cm="1">
        <f t="array" ref="W41">_xlfn.XLOOKUP(TRIM(Table5[[#This Row],[ItemName]]), TRIM(Menu_Price_List_tbl[ItemName]),Menu_Price_List_tbl[UnitPrice_NPR])</f>
        <v>100</v>
      </c>
      <c r="X41" s="31">
        <f t="shared" si="2"/>
        <v>200</v>
      </c>
      <c r="Y41" s="30">
        <f>_xlfn.XLOOKUP(Table5[[#This Row],[City]],City_Delivery_Fee_tbl[City],City_Delivery_Fee_tbl[BaseDeliveryFee_NPR])</f>
        <v>70</v>
      </c>
      <c r="Z4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20</v>
      </c>
      <c r="AA41" s="31">
        <f>Table5[[#This Row],[Order Amount]]+Table5[[#This Row],[Delivery Fee]]-Table5[[#This Row],[Discount Amount]]</f>
        <v>250</v>
      </c>
      <c r="AB41" s="30" t="str">
        <f>_xlfn.XLOOKUP(Table5[[#This Row],[RiderID]], Rider_Directory!$F$2:$F$26, Rider_Directory!$B$2:$B$26)</f>
        <v>Pokhara</v>
      </c>
      <c r="AC41" s="30" t="str" cm="1">
        <f t="array" ref="AC41">_xlfn.IFS(Table5[[#This Row],[Final Amount]]&lt;500, "Small", Table5[[#This Row],[Final Amount]]&lt;=1000, "Medium", Table5[[#This Row],[Final Amount]]&gt;1000, "Large")</f>
        <v>Small</v>
      </c>
      <c r="AD41" s="30" t="str">
        <f>_xlfn.LET(_xlpm.expiry,_xlfn.XLOOKUP(Table5[[#This Row],[PromoCode]],Promo_Codes!$A$2:$A$9,Promo_Codes!$F$2:$F$9,DATE(2099,1,1)),IF(Table5[[#This Row],[OrderDate]]&gt;_xlpm.expiry,"Expired Code Used","Valid"))</f>
        <v>Valid</v>
      </c>
    </row>
    <row r="42" spans="1:30" x14ac:dyDescent="0.3">
      <c r="A42" s="28" t="s">
        <v>566</v>
      </c>
      <c r="B42" s="27">
        <v>45904</v>
      </c>
      <c r="C42" s="28" t="s">
        <v>511</v>
      </c>
      <c r="D42" s="28" t="s">
        <v>1212</v>
      </c>
      <c r="E42" s="27">
        <v>45895</v>
      </c>
      <c r="F42" s="27" t="str">
        <f t="shared" si="0"/>
        <v>Returning</v>
      </c>
      <c r="G42" s="28" t="s">
        <v>145</v>
      </c>
      <c r="H42" s="28" t="s">
        <v>146</v>
      </c>
      <c r="I42" s="28" t="s">
        <v>147</v>
      </c>
      <c r="J42" s="28" t="s">
        <v>567</v>
      </c>
      <c r="K42" s="29">
        <v>4</v>
      </c>
      <c r="L42" s="28" t="s">
        <v>149</v>
      </c>
      <c r="M42" s="28" t="s">
        <v>159</v>
      </c>
      <c r="N42" s="28"/>
      <c r="O42" s="28" t="s">
        <v>130</v>
      </c>
      <c r="P42" s="28" t="str">
        <f t="shared" si="1"/>
        <v/>
      </c>
      <c r="Q42" s="29">
        <v>5</v>
      </c>
      <c r="R42" s="29">
        <v>50</v>
      </c>
      <c r="S42" s="28"/>
      <c r="T42" s="30" t="str">
        <f>_xlfn.CONCAT(Table5[[#This Row],[OrderID]]," | ",Table5[[#This Row],[City]]," | ",Table5[[#This Row],[ItemName]])</f>
        <v xml:space="preserve">ORD-1040 | Chitwan | Barfi (5 pcs)  </v>
      </c>
      <c r="U42" s="30" t="str">
        <f>UPPER(Table5[[#This Row],[City]])</f>
        <v>CHITWAN</v>
      </c>
      <c r="V42" s="30" t="str">
        <f>LOWER(Table5[[#This Row],[PaymentMethod]])</f>
        <v>khalti</v>
      </c>
      <c r="W42" s="30" cm="1">
        <f t="array" ref="W42">_xlfn.XLOOKUP(TRIM(Table5[[#This Row],[ItemName]]), TRIM(Menu_Price_List_tbl[ItemName]),Menu_Price_List_tbl[UnitPrice_NPR])</f>
        <v>220</v>
      </c>
      <c r="X42" s="31">
        <f t="shared" si="2"/>
        <v>880</v>
      </c>
      <c r="Y42" s="30">
        <f>_xlfn.XLOOKUP(Table5[[#This Row],[City]],City_Delivery_Fee_tbl[City],City_Delivery_Fee_tbl[BaseDeliveryFee_NPR])</f>
        <v>80</v>
      </c>
      <c r="Z4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42" s="31">
        <f>Table5[[#This Row],[Order Amount]]+Table5[[#This Row],[Delivery Fee]]-Table5[[#This Row],[Discount Amount]]</f>
        <v>960</v>
      </c>
      <c r="AB42" s="30" t="str">
        <f>_xlfn.XLOOKUP(Table5[[#This Row],[RiderID]], Rider_Directory!$F$2:$F$26, Rider_Directory!$B$2:$B$26)</f>
        <v>Chitwan</v>
      </c>
      <c r="AC42" s="30" t="str" cm="1">
        <f t="array" ref="AC42">_xlfn.IFS(Table5[[#This Row],[Final Amount]]&lt;500, "Small", Table5[[#This Row],[Final Amount]]&lt;=1000, "Medium", Table5[[#This Row],[Final Amount]]&gt;1000, "Large")</f>
        <v>Medium</v>
      </c>
      <c r="AD42" s="30" t="str">
        <f>_xlfn.LET(_xlpm.expiry,_xlfn.XLOOKUP(Table5[[#This Row],[PromoCode]],Promo_Codes!$A$2:$A$9,Promo_Codes!$F$2:$F$9,DATE(2099,1,1)),IF(Table5[[#This Row],[OrderDate]]&gt;_xlpm.expiry,"Expired Code Used","Valid"))</f>
        <v>Valid</v>
      </c>
    </row>
    <row r="43" spans="1:30" x14ac:dyDescent="0.3">
      <c r="A43" s="28" t="s">
        <v>469</v>
      </c>
      <c r="B43" s="27">
        <v>45904</v>
      </c>
      <c r="C43" s="28" t="s">
        <v>220</v>
      </c>
      <c r="D43" s="28" t="s">
        <v>1171</v>
      </c>
      <c r="E43" s="27">
        <v>45904</v>
      </c>
      <c r="F43" s="27" t="str">
        <f t="shared" si="0"/>
        <v>New</v>
      </c>
      <c r="G43" s="28" t="s">
        <v>135</v>
      </c>
      <c r="H43" s="28" t="s">
        <v>331</v>
      </c>
      <c r="I43" s="28" t="s">
        <v>164</v>
      </c>
      <c r="J43" s="28" t="s">
        <v>393</v>
      </c>
      <c r="K43" s="29">
        <v>2</v>
      </c>
      <c r="L43" s="28" t="s">
        <v>139</v>
      </c>
      <c r="M43" s="28" t="s">
        <v>159</v>
      </c>
      <c r="N43" s="28"/>
      <c r="O43" s="28" t="s">
        <v>130</v>
      </c>
      <c r="P43" s="28" t="str">
        <f t="shared" si="1"/>
        <v/>
      </c>
      <c r="Q43" s="29">
        <v>5</v>
      </c>
      <c r="R43" s="29">
        <v>26</v>
      </c>
      <c r="S43" s="28"/>
      <c r="T43" s="30" t="str">
        <f>_xlfn.CONCAT(Table5[[#This Row],[OrderID]]," | ",Table5[[#This Row],[City]]," | ",Table5[[#This Row],[ItemName]])</f>
        <v>ORD-1041 | Kathmandu | Lemon Soda</v>
      </c>
      <c r="U43" s="30" t="str">
        <f>UPPER(Table5[[#This Row],[City]])</f>
        <v>KATHMANDU</v>
      </c>
      <c r="V43" s="30" t="str">
        <f>LOWER(Table5[[#This Row],[PaymentMethod]])</f>
        <v>khalti</v>
      </c>
      <c r="W43" s="30" cm="1">
        <f t="array" ref="W43">_xlfn.XLOOKUP(TRIM(Table5[[#This Row],[ItemName]]), TRIM(Menu_Price_List_tbl[ItemName]),Menu_Price_List_tbl[UnitPrice_NPR])</f>
        <v>100</v>
      </c>
      <c r="X43" s="31">
        <f t="shared" si="2"/>
        <v>200</v>
      </c>
      <c r="Y43" s="30">
        <f>_xlfn.XLOOKUP(Table5[[#This Row],[City]],City_Delivery_Fee_tbl[City],City_Delivery_Fee_tbl[BaseDeliveryFee_NPR])</f>
        <v>50</v>
      </c>
      <c r="Z4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43" s="31">
        <f>Table5[[#This Row],[Order Amount]]+Table5[[#This Row],[Delivery Fee]]-Table5[[#This Row],[Discount Amount]]</f>
        <v>250</v>
      </c>
      <c r="AB43" s="30" t="str">
        <f>_xlfn.XLOOKUP(Table5[[#This Row],[RiderID]], Rider_Directory!$F$2:$F$26, Rider_Directory!$B$2:$B$26)</f>
        <v>Kathmandu</v>
      </c>
      <c r="AC43" s="30" t="str" cm="1">
        <f t="array" ref="AC43">_xlfn.IFS(Table5[[#This Row],[Final Amount]]&lt;500, "Small", Table5[[#This Row],[Final Amount]]&lt;=1000, "Medium", Table5[[#This Row],[Final Amount]]&gt;1000, "Large")</f>
        <v>Small</v>
      </c>
      <c r="AD43" s="30" t="str">
        <f>_xlfn.LET(_xlpm.expiry,_xlfn.XLOOKUP(Table5[[#This Row],[PromoCode]],Promo_Codes!$A$2:$A$9,Promo_Codes!$F$2:$F$9,DATE(2099,1,1)),IF(Table5[[#This Row],[OrderDate]]&gt;_xlpm.expiry,"Expired Code Used","Valid"))</f>
        <v>Valid</v>
      </c>
    </row>
    <row r="44" spans="1:30" x14ac:dyDescent="0.3">
      <c r="A44" s="28" t="s">
        <v>827</v>
      </c>
      <c r="B44" s="27">
        <v>45906</v>
      </c>
      <c r="C44" s="28" t="s">
        <v>597</v>
      </c>
      <c r="D44" s="28" t="s">
        <v>1236</v>
      </c>
      <c r="E44" s="27">
        <v>45904</v>
      </c>
      <c r="F44" s="27" t="str">
        <f t="shared" si="0"/>
        <v>New</v>
      </c>
      <c r="G44" s="28" t="s">
        <v>259</v>
      </c>
      <c r="H44" s="28" t="s">
        <v>171</v>
      </c>
      <c r="I44" s="28" t="s">
        <v>147</v>
      </c>
      <c r="J44" s="28" t="s">
        <v>829</v>
      </c>
      <c r="K44" s="29">
        <v>1</v>
      </c>
      <c r="L44" s="28" t="s">
        <v>260</v>
      </c>
      <c r="M44" s="28" t="s">
        <v>140</v>
      </c>
      <c r="N44" s="28"/>
      <c r="O44" s="28" t="s">
        <v>279</v>
      </c>
      <c r="P44" s="28" t="str">
        <f t="shared" si="1"/>
        <v/>
      </c>
      <c r="Q44" s="28"/>
      <c r="R44" s="29">
        <v>63</v>
      </c>
      <c r="S44" s="28"/>
      <c r="T44" s="30" t="str">
        <f>_xlfn.CONCAT(Table5[[#This Row],[OrderID]]," | ",Table5[[#This Row],[City]]," | ",Table5[[#This Row],[ItemName]])</f>
        <v>ORD-1042 | Dharan | SEL ROTI (4 PCS)</v>
      </c>
      <c r="U44" s="30" t="str">
        <f>UPPER(Table5[[#This Row],[City]])</f>
        <v>DHARAN</v>
      </c>
      <c r="V44" s="30" t="str">
        <f>LOWER(Table5[[#This Row],[PaymentMethod]])</f>
        <v>cash on delivery</v>
      </c>
      <c r="W44" s="30" cm="1">
        <f t="array" ref="W44">_xlfn.XLOOKUP(TRIM(Table5[[#This Row],[ItemName]]), TRIM(Menu_Price_List_tbl[ItemName]),Menu_Price_List_tbl[UnitPrice_NPR])</f>
        <v>140</v>
      </c>
      <c r="X44" s="31">
        <f t="shared" si="2"/>
        <v>140</v>
      </c>
      <c r="Y44" s="30">
        <f>_xlfn.XLOOKUP(Table5[[#This Row],[City]],City_Delivery_Fee_tbl[City],City_Delivery_Fee_tbl[BaseDeliveryFee_NPR])</f>
        <v>95</v>
      </c>
      <c r="Z4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44" s="31">
        <f>Table5[[#This Row],[Order Amount]]+Table5[[#This Row],[Delivery Fee]]-Table5[[#This Row],[Discount Amount]]</f>
        <v>235</v>
      </c>
      <c r="AB44" s="30" t="str">
        <f>_xlfn.XLOOKUP(Table5[[#This Row],[RiderID]], Rider_Directory!$F$2:$F$26, Rider_Directory!$B$2:$B$26)</f>
        <v>Dharan</v>
      </c>
      <c r="AC44" s="30" t="str" cm="1">
        <f t="array" ref="AC44">_xlfn.IFS(Table5[[#This Row],[Final Amount]]&lt;500, "Small", Table5[[#This Row],[Final Amount]]&lt;=1000, "Medium", Table5[[#This Row],[Final Amount]]&gt;1000, "Large")</f>
        <v>Small</v>
      </c>
      <c r="AD44" s="30" t="str">
        <f>_xlfn.LET(_xlpm.expiry,_xlfn.XLOOKUP(Table5[[#This Row],[PromoCode]],Promo_Codes!$A$2:$A$9,Promo_Codes!$F$2:$F$9,DATE(2099,1,1)),IF(Table5[[#This Row],[OrderDate]]&gt;_xlpm.expiry,"Expired Code Used","Valid"))</f>
        <v>Valid</v>
      </c>
    </row>
    <row r="45" spans="1:30" x14ac:dyDescent="0.3">
      <c r="A45" s="28" t="s">
        <v>647</v>
      </c>
      <c r="B45" s="27">
        <v>45909</v>
      </c>
      <c r="C45" s="28" t="s">
        <v>184</v>
      </c>
      <c r="D45" s="28" t="s">
        <v>1166</v>
      </c>
      <c r="E45" s="27">
        <v>45909</v>
      </c>
      <c r="F45" s="27" t="str">
        <f t="shared" si="0"/>
        <v>New</v>
      </c>
      <c r="G45" s="28" t="s">
        <v>259</v>
      </c>
      <c r="H45" s="28" t="s">
        <v>136</v>
      </c>
      <c r="I45" s="28" t="s">
        <v>137</v>
      </c>
      <c r="J45" s="28" t="s">
        <v>138</v>
      </c>
      <c r="K45" s="29">
        <v>1</v>
      </c>
      <c r="L45" s="28" t="s">
        <v>260</v>
      </c>
      <c r="M45" s="28" t="s">
        <v>128</v>
      </c>
      <c r="N45" s="28"/>
      <c r="O45" s="28" t="s">
        <v>130</v>
      </c>
      <c r="P45" s="28" t="str">
        <f t="shared" si="1"/>
        <v/>
      </c>
      <c r="Q45" s="29">
        <v>4</v>
      </c>
      <c r="R45" s="29">
        <v>55</v>
      </c>
      <c r="S45" s="28" t="s">
        <v>202</v>
      </c>
      <c r="T45" s="30" t="str">
        <f>_xlfn.CONCAT(Table5[[#This Row],[OrderID]]," | ",Table5[[#This Row],[City]]," | ",Table5[[#This Row],[ItemName]])</f>
        <v>ORD-1043 | Dharan | Chicken Thakali Set</v>
      </c>
      <c r="U45" s="30" t="str">
        <f>UPPER(Table5[[#This Row],[City]])</f>
        <v>DHARAN</v>
      </c>
      <c r="V45" s="30" t="str">
        <f>LOWER(Table5[[#This Row],[PaymentMethod]])</f>
        <v>esewa</v>
      </c>
      <c r="W45" s="30" cm="1">
        <f t="array" ref="W45">_xlfn.XLOOKUP(TRIM(Table5[[#This Row],[ItemName]]), TRIM(Menu_Price_List_tbl[ItemName]),Menu_Price_List_tbl[UnitPrice_NPR])</f>
        <v>480</v>
      </c>
      <c r="X45" s="31">
        <f t="shared" si="2"/>
        <v>480</v>
      </c>
      <c r="Y45" s="30">
        <f>_xlfn.XLOOKUP(Table5[[#This Row],[City]],City_Delivery_Fee_tbl[City],City_Delivery_Fee_tbl[BaseDeliveryFee_NPR])</f>
        <v>95</v>
      </c>
      <c r="Z4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45" s="31">
        <f>Table5[[#This Row],[Order Amount]]+Table5[[#This Row],[Delivery Fee]]-Table5[[#This Row],[Discount Amount]]</f>
        <v>575</v>
      </c>
      <c r="AB45" s="30" t="str">
        <f>_xlfn.XLOOKUP(Table5[[#This Row],[RiderID]], Rider_Directory!$F$2:$F$26, Rider_Directory!$B$2:$B$26)</f>
        <v>Dharan</v>
      </c>
      <c r="AC45" s="30" t="str" cm="1">
        <f t="array" ref="AC45">_xlfn.IFS(Table5[[#This Row],[Final Amount]]&lt;500, "Small", Table5[[#This Row],[Final Amount]]&lt;=1000, "Medium", Table5[[#This Row],[Final Amount]]&gt;1000, "Large")</f>
        <v>Medium</v>
      </c>
      <c r="AD45" s="30" t="str">
        <f>_xlfn.LET(_xlpm.expiry,_xlfn.XLOOKUP(Table5[[#This Row],[PromoCode]],Promo_Codes!$A$2:$A$9,Promo_Codes!$F$2:$F$9,DATE(2099,1,1)),IF(Table5[[#This Row],[OrderDate]]&gt;_xlpm.expiry,"Expired Code Used","Valid"))</f>
        <v>Valid</v>
      </c>
    </row>
    <row r="46" spans="1:30" x14ac:dyDescent="0.3">
      <c r="A46" s="28" t="s">
        <v>737</v>
      </c>
      <c r="B46" s="27">
        <v>45910</v>
      </c>
      <c r="C46" s="28" t="s">
        <v>1144</v>
      </c>
      <c r="D46" s="28" t="s">
        <v>1259</v>
      </c>
      <c r="E46" s="27">
        <v>45908</v>
      </c>
      <c r="F46" s="27" t="str">
        <f t="shared" si="0"/>
        <v>New</v>
      </c>
      <c r="G46" s="28" t="s">
        <v>170</v>
      </c>
      <c r="H46" s="28" t="s">
        <v>331</v>
      </c>
      <c r="I46" s="28" t="s">
        <v>164</v>
      </c>
      <c r="J46" s="28" t="s">
        <v>521</v>
      </c>
      <c r="K46" s="29">
        <v>1</v>
      </c>
      <c r="L46" s="28" t="s">
        <v>158</v>
      </c>
      <c r="M46" s="28" t="s">
        <v>278</v>
      </c>
      <c r="N46" s="28" t="s">
        <v>255</v>
      </c>
      <c r="O46" s="28" t="s">
        <v>130</v>
      </c>
      <c r="P46" s="28" t="str">
        <f t="shared" si="1"/>
        <v/>
      </c>
      <c r="Q46" s="29">
        <v>3</v>
      </c>
      <c r="R46" s="29">
        <v>25</v>
      </c>
      <c r="S46" s="28"/>
      <c r="T46" s="30" t="str">
        <f>_xlfn.CONCAT(Table5[[#This Row],[OrderID]]," | ",Table5[[#This Row],[City]]," | ",Table5[[#This Row],[ItemName]])</f>
        <v>ORD-1044 | Butwal | Lassi</v>
      </c>
      <c r="U46" s="30" t="str">
        <f>UPPER(Table5[[#This Row],[City]])</f>
        <v>BUTWAL</v>
      </c>
      <c r="V46" s="30" t="str">
        <f>LOWER(Table5[[#This Row],[PaymentMethod]])</f>
        <v>connectips</v>
      </c>
      <c r="W46" s="30" cm="1">
        <f t="array" ref="W46">_xlfn.XLOOKUP(TRIM(Table5[[#This Row],[ItemName]]), TRIM(Menu_Price_List_tbl[ItemName]),Menu_Price_List_tbl[UnitPrice_NPR])</f>
        <v>130</v>
      </c>
      <c r="X46" s="31">
        <f t="shared" si="2"/>
        <v>130</v>
      </c>
      <c r="Y46" s="30">
        <f>_xlfn.XLOOKUP(Table5[[#This Row],[City]],City_Delivery_Fee_tbl[City],City_Delivery_Fee_tbl[BaseDeliveryFee_NPR])</f>
        <v>85</v>
      </c>
      <c r="Z4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13</v>
      </c>
      <c r="AA46" s="31">
        <f>Table5[[#This Row],[Order Amount]]+Table5[[#This Row],[Delivery Fee]]-Table5[[#This Row],[Discount Amount]]</f>
        <v>202</v>
      </c>
      <c r="AB46" s="30" t="str">
        <f>_xlfn.XLOOKUP(Table5[[#This Row],[RiderID]], Rider_Directory!$F$2:$F$26, Rider_Directory!$B$2:$B$26)</f>
        <v>Butwal</v>
      </c>
      <c r="AC46" s="30" t="str" cm="1">
        <f t="array" ref="AC46">_xlfn.IFS(Table5[[#This Row],[Final Amount]]&lt;500, "Small", Table5[[#This Row],[Final Amount]]&lt;=1000, "Medium", Table5[[#This Row],[Final Amount]]&gt;1000, "Large")</f>
        <v>Small</v>
      </c>
      <c r="AD46" s="30" t="str">
        <f>_xlfn.LET(_xlpm.expiry,_xlfn.XLOOKUP(Table5[[#This Row],[PromoCode]],Promo_Codes!$A$2:$A$9,Promo_Codes!$F$2:$F$9,DATE(2099,1,1)),IF(Table5[[#This Row],[OrderDate]]&gt;_xlpm.expiry,"Expired Code Used","Valid"))</f>
        <v>Valid</v>
      </c>
    </row>
    <row r="47" spans="1:30" x14ac:dyDescent="0.3">
      <c r="A47" s="28" t="s">
        <v>440</v>
      </c>
      <c r="B47" s="27">
        <v>45910</v>
      </c>
      <c r="C47" s="28" t="s">
        <v>511</v>
      </c>
      <c r="D47" s="28" t="s">
        <v>1212</v>
      </c>
      <c r="E47" s="27">
        <v>45895</v>
      </c>
      <c r="F47" s="27" t="str">
        <f t="shared" si="0"/>
        <v>Returning</v>
      </c>
      <c r="G47" s="28" t="s">
        <v>198</v>
      </c>
      <c r="H47" s="28" t="s">
        <v>146</v>
      </c>
      <c r="I47" s="28" t="s">
        <v>147</v>
      </c>
      <c r="J47" s="28" t="s">
        <v>442</v>
      </c>
      <c r="K47" s="29">
        <v>2</v>
      </c>
      <c r="L47" s="28" t="s">
        <v>213</v>
      </c>
      <c r="M47" s="28" t="s">
        <v>140</v>
      </c>
      <c r="N47" s="28"/>
      <c r="O47" s="28" t="s">
        <v>130</v>
      </c>
      <c r="P47" s="28" t="str">
        <f t="shared" si="1"/>
        <v/>
      </c>
      <c r="Q47" s="29">
        <v>4</v>
      </c>
      <c r="R47" s="29">
        <v>24</v>
      </c>
      <c r="S47" s="28"/>
      <c r="T47" s="30" t="str">
        <f>_xlfn.CONCAT(Table5[[#This Row],[OrderID]]," | ",Table5[[#This Row],[City]]," | ",Table5[[#This Row],[ItemName]])</f>
        <v xml:space="preserve">ORD-1045 | Lalitpur | Chocolate Pastry  </v>
      </c>
      <c r="U47" s="30" t="str">
        <f>UPPER(Table5[[#This Row],[City]])</f>
        <v>LALITPUR</v>
      </c>
      <c r="V47" s="30" t="str">
        <f>LOWER(Table5[[#This Row],[PaymentMethod]])</f>
        <v>cash on delivery</v>
      </c>
      <c r="W47" s="30" cm="1">
        <f t="array" ref="W47">_xlfn.XLOOKUP(TRIM(Table5[[#This Row],[ItemName]]), TRIM(Menu_Price_List_tbl[ItemName]),Menu_Price_List_tbl[UnitPrice_NPR])</f>
        <v>150</v>
      </c>
      <c r="X47" s="31">
        <f t="shared" si="2"/>
        <v>300</v>
      </c>
      <c r="Y47" s="30">
        <f>_xlfn.XLOOKUP(Table5[[#This Row],[City]],City_Delivery_Fee_tbl[City],City_Delivery_Fee_tbl[BaseDeliveryFee_NPR])</f>
        <v>50</v>
      </c>
      <c r="Z4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47" s="31">
        <f>Table5[[#This Row],[Order Amount]]+Table5[[#This Row],[Delivery Fee]]-Table5[[#This Row],[Discount Amount]]</f>
        <v>350</v>
      </c>
      <c r="AB47" s="30" t="str">
        <f>_xlfn.XLOOKUP(Table5[[#This Row],[RiderID]], Rider_Directory!$F$2:$F$26, Rider_Directory!$B$2:$B$26)</f>
        <v>Lalitpur</v>
      </c>
      <c r="AC47" s="30" t="str" cm="1">
        <f t="array" ref="AC47">_xlfn.IFS(Table5[[#This Row],[Final Amount]]&lt;500, "Small", Table5[[#This Row],[Final Amount]]&lt;=1000, "Medium", Table5[[#This Row],[Final Amount]]&gt;1000, "Large")</f>
        <v>Small</v>
      </c>
      <c r="AD47" s="30" t="str">
        <f>_xlfn.LET(_xlpm.expiry,_xlfn.XLOOKUP(Table5[[#This Row],[PromoCode]],Promo_Codes!$A$2:$A$9,Promo_Codes!$F$2:$F$9,DATE(2099,1,1)),IF(Table5[[#This Row],[OrderDate]]&gt;_xlpm.expiry,"Expired Code Used","Valid"))</f>
        <v>Valid</v>
      </c>
    </row>
    <row r="48" spans="1:30" x14ac:dyDescent="0.3">
      <c r="A48" s="28" t="s">
        <v>209</v>
      </c>
      <c r="B48" s="27">
        <v>45910</v>
      </c>
      <c r="C48" s="28" t="s">
        <v>210</v>
      </c>
      <c r="D48" s="28" t="s">
        <v>1170</v>
      </c>
      <c r="E48" s="27">
        <v>45880</v>
      </c>
      <c r="F48" s="27" t="str">
        <f t="shared" si="0"/>
        <v>Returning</v>
      </c>
      <c r="G48" s="28" t="s">
        <v>198</v>
      </c>
      <c r="H48" s="28" t="s">
        <v>136</v>
      </c>
      <c r="I48" s="28" t="s">
        <v>137</v>
      </c>
      <c r="J48" s="28" t="s">
        <v>138</v>
      </c>
      <c r="K48" s="29">
        <v>1</v>
      </c>
      <c r="L48" s="28" t="s">
        <v>213</v>
      </c>
      <c r="M48" s="28" t="s">
        <v>159</v>
      </c>
      <c r="N48" s="28"/>
      <c r="O48" s="28" t="s">
        <v>130</v>
      </c>
      <c r="P48" s="28" t="str">
        <f t="shared" si="1"/>
        <v/>
      </c>
      <c r="Q48" s="29">
        <v>3</v>
      </c>
      <c r="R48" s="29">
        <v>28</v>
      </c>
      <c r="S48" s="28" t="s">
        <v>150</v>
      </c>
      <c r="T48" s="30" t="str">
        <f>_xlfn.CONCAT(Table5[[#This Row],[OrderID]]," | ",Table5[[#This Row],[City]]," | ",Table5[[#This Row],[ItemName]])</f>
        <v>ORD-1046 | Lalitpur | Chicken Thakali Set</v>
      </c>
      <c r="U48" s="30" t="str">
        <f>UPPER(Table5[[#This Row],[City]])</f>
        <v>LALITPUR</v>
      </c>
      <c r="V48" s="30" t="str">
        <f>LOWER(Table5[[#This Row],[PaymentMethod]])</f>
        <v>khalti</v>
      </c>
      <c r="W48" s="30" cm="1">
        <f t="array" ref="W48">_xlfn.XLOOKUP(TRIM(Table5[[#This Row],[ItemName]]), TRIM(Menu_Price_List_tbl[ItemName]),Menu_Price_List_tbl[UnitPrice_NPR])</f>
        <v>480</v>
      </c>
      <c r="X48" s="31">
        <f t="shared" si="2"/>
        <v>480</v>
      </c>
      <c r="Y48" s="30">
        <f>_xlfn.XLOOKUP(Table5[[#This Row],[City]],City_Delivery_Fee_tbl[City],City_Delivery_Fee_tbl[BaseDeliveryFee_NPR])</f>
        <v>50</v>
      </c>
      <c r="Z4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48" s="31">
        <f>Table5[[#This Row],[Order Amount]]+Table5[[#This Row],[Delivery Fee]]-Table5[[#This Row],[Discount Amount]]</f>
        <v>530</v>
      </c>
      <c r="AB48" s="30" t="str">
        <f>_xlfn.XLOOKUP(Table5[[#This Row],[RiderID]], Rider_Directory!$F$2:$F$26, Rider_Directory!$B$2:$B$26)</f>
        <v>Lalitpur</v>
      </c>
      <c r="AC48" s="30" t="str" cm="1">
        <f t="array" ref="AC48">_xlfn.IFS(Table5[[#This Row],[Final Amount]]&lt;500, "Small", Table5[[#This Row],[Final Amount]]&lt;=1000, "Medium", Table5[[#This Row],[Final Amount]]&gt;1000, "Large")</f>
        <v>Medium</v>
      </c>
      <c r="AD48" s="30" t="str">
        <f>_xlfn.LET(_xlpm.expiry,_xlfn.XLOOKUP(Table5[[#This Row],[PromoCode]],Promo_Codes!$A$2:$A$9,Promo_Codes!$F$2:$F$9,DATE(2099,1,1)),IF(Table5[[#This Row],[OrderDate]]&gt;_xlpm.expiry,"Expired Code Used","Valid"))</f>
        <v>Valid</v>
      </c>
    </row>
    <row r="49" spans="1:30" x14ac:dyDescent="0.3">
      <c r="A49" s="28" t="s">
        <v>530</v>
      </c>
      <c r="B49" s="27">
        <v>45911</v>
      </c>
      <c r="C49" s="28" t="s">
        <v>531</v>
      </c>
      <c r="D49" s="28" t="s">
        <v>1226</v>
      </c>
      <c r="E49" s="27">
        <v>45909</v>
      </c>
      <c r="F49" s="27" t="str">
        <f t="shared" si="0"/>
        <v>New</v>
      </c>
      <c r="G49" s="28" t="s">
        <v>206</v>
      </c>
      <c r="H49" s="28" t="s">
        <v>216</v>
      </c>
      <c r="I49" s="28" t="s">
        <v>125</v>
      </c>
      <c r="J49" s="28" t="s">
        <v>414</v>
      </c>
      <c r="K49" s="29">
        <v>1</v>
      </c>
      <c r="L49" s="28" t="s">
        <v>298</v>
      </c>
      <c r="M49" s="28" t="s">
        <v>128</v>
      </c>
      <c r="N49" s="28" t="s">
        <v>518</v>
      </c>
      <c r="O49" s="28" t="s">
        <v>130</v>
      </c>
      <c r="P49" s="28" t="str">
        <f t="shared" si="1"/>
        <v/>
      </c>
      <c r="Q49" s="29">
        <v>5</v>
      </c>
      <c r="R49" s="29">
        <v>38</v>
      </c>
      <c r="S49" s="28"/>
      <c r="T49" s="30" t="str">
        <f>_xlfn.CONCAT(Table5[[#This Row],[OrderID]]," | ",Table5[[#This Row],[City]]," | ",Table5[[#This Row],[ItemName]])</f>
        <v>ORD-1047 | Pokhara | BARA</v>
      </c>
      <c r="U49" s="30" t="str">
        <f>UPPER(Table5[[#This Row],[City]])</f>
        <v>POKHARA</v>
      </c>
      <c r="V49" s="30" t="str">
        <f>LOWER(Table5[[#This Row],[PaymentMethod]])</f>
        <v>esewa</v>
      </c>
      <c r="W49" s="30" cm="1">
        <f t="array" ref="W49">_xlfn.XLOOKUP(TRIM(Table5[[#This Row],[ItemName]]), TRIM(Menu_Price_List_tbl[ItemName]),Menu_Price_List_tbl[UnitPrice_NPR])</f>
        <v>160</v>
      </c>
      <c r="X49" s="31">
        <f t="shared" si="2"/>
        <v>160</v>
      </c>
      <c r="Y49" s="30">
        <f>_xlfn.XLOOKUP(Table5[[#This Row],[City]],City_Delivery_Fee_tbl[City],City_Delivery_Fee_tbl[BaseDeliveryFee_NPR])</f>
        <v>70</v>
      </c>
      <c r="Z4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49" s="31">
        <f>Table5[[#This Row],[Order Amount]]+Table5[[#This Row],[Delivery Fee]]-Table5[[#This Row],[Discount Amount]]</f>
        <v>130</v>
      </c>
      <c r="AB49" s="30" t="str">
        <f>_xlfn.XLOOKUP(Table5[[#This Row],[RiderID]], Rider_Directory!$F$2:$F$26, Rider_Directory!$B$2:$B$26)</f>
        <v>Pokhara</v>
      </c>
      <c r="AC49" s="30" t="str" cm="1">
        <f t="array" ref="AC49">_xlfn.IFS(Table5[[#This Row],[Final Amount]]&lt;500, "Small", Table5[[#This Row],[Final Amount]]&lt;=1000, "Medium", Table5[[#This Row],[Final Amount]]&gt;1000, "Large")</f>
        <v>Small</v>
      </c>
      <c r="AD49" s="30" t="str">
        <f>_xlfn.LET(_xlpm.expiry,_xlfn.XLOOKUP(Table5[[#This Row],[PromoCode]],Promo_Codes!$A$2:$A$9,Promo_Codes!$F$2:$F$9,DATE(2099,1,1)),IF(Table5[[#This Row],[OrderDate]]&gt;_xlpm.expiry,"Expired Code Used","Valid"))</f>
        <v>Valid</v>
      </c>
    </row>
    <row r="50" spans="1:30" x14ac:dyDescent="0.3">
      <c r="A50" s="28" t="s">
        <v>446</v>
      </c>
      <c r="B50" s="27">
        <v>45911</v>
      </c>
      <c r="C50" s="28" t="s">
        <v>608</v>
      </c>
      <c r="D50" s="28" t="s">
        <v>1214</v>
      </c>
      <c r="E50" s="27">
        <v>45889</v>
      </c>
      <c r="F50" s="27" t="str">
        <f t="shared" si="0"/>
        <v>Returning</v>
      </c>
      <c r="G50" s="28" t="s">
        <v>145</v>
      </c>
      <c r="H50" s="28" t="s">
        <v>232</v>
      </c>
      <c r="I50" s="28" t="s">
        <v>233</v>
      </c>
      <c r="J50" s="28" t="s">
        <v>449</v>
      </c>
      <c r="K50" s="29">
        <v>2</v>
      </c>
      <c r="L50" s="28" t="s">
        <v>450</v>
      </c>
      <c r="M50" s="28" t="s">
        <v>247</v>
      </c>
      <c r="N50" s="28"/>
      <c r="O50" s="28" t="s">
        <v>130</v>
      </c>
      <c r="P50" s="28" t="str">
        <f t="shared" si="1"/>
        <v/>
      </c>
      <c r="Q50" s="29">
        <v>5</v>
      </c>
      <c r="R50" s="29">
        <v>51</v>
      </c>
      <c r="S50" s="28"/>
      <c r="T50" s="30" t="str">
        <f>_xlfn.CONCAT(Table5[[#This Row],[OrderID]]," | ",Table5[[#This Row],[City]]," | ",Table5[[#This Row],[ItemName]])</f>
        <v>ORD-1048 | Chitwan |   Veg Momo (Fried)</v>
      </c>
      <c r="U50" s="30" t="str">
        <f>UPPER(Table5[[#This Row],[City]])</f>
        <v>CHITWAN</v>
      </c>
      <c r="V50" s="30" t="str">
        <f>LOWER(Table5[[#This Row],[PaymentMethod]])</f>
        <v>ime pay</v>
      </c>
      <c r="W50" s="30" cm="1">
        <f t="array" ref="W50">_xlfn.XLOOKUP(TRIM(Table5[[#This Row],[ItemName]]), TRIM(Menu_Price_List_tbl[ItemName]),Menu_Price_List_tbl[UnitPrice_NPR])</f>
        <v>160</v>
      </c>
      <c r="X50" s="31">
        <f t="shared" si="2"/>
        <v>320</v>
      </c>
      <c r="Y50" s="30">
        <f>_xlfn.XLOOKUP(Table5[[#This Row],[City]],City_Delivery_Fee_tbl[City],City_Delivery_Fee_tbl[BaseDeliveryFee_NPR])</f>
        <v>80</v>
      </c>
      <c r="Z5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50" s="31">
        <f>Table5[[#This Row],[Order Amount]]+Table5[[#This Row],[Delivery Fee]]-Table5[[#This Row],[Discount Amount]]</f>
        <v>400</v>
      </c>
      <c r="AB50" s="30" t="str">
        <f>_xlfn.XLOOKUP(Table5[[#This Row],[RiderID]], Rider_Directory!$F$2:$F$26, Rider_Directory!$B$2:$B$26)</f>
        <v>Chitwan</v>
      </c>
      <c r="AC50" s="30" t="str" cm="1">
        <f t="array" ref="AC50">_xlfn.IFS(Table5[[#This Row],[Final Amount]]&lt;500, "Small", Table5[[#This Row],[Final Amount]]&lt;=1000, "Medium", Table5[[#This Row],[Final Amount]]&gt;1000, "Large")</f>
        <v>Small</v>
      </c>
      <c r="AD50" s="30" t="str">
        <f>_xlfn.LET(_xlpm.expiry,_xlfn.XLOOKUP(Table5[[#This Row],[PromoCode]],Promo_Codes!$A$2:$A$9,Promo_Codes!$F$2:$F$9,DATE(2099,1,1)),IF(Table5[[#This Row],[OrderDate]]&gt;_xlpm.expiry,"Expired Code Used","Valid"))</f>
        <v>Valid</v>
      </c>
    </row>
    <row r="51" spans="1:30" x14ac:dyDescent="0.3">
      <c r="A51" s="28" t="s">
        <v>1045</v>
      </c>
      <c r="B51" s="27">
        <v>45911</v>
      </c>
      <c r="C51" s="28" t="s">
        <v>813</v>
      </c>
      <c r="D51" s="28" t="s">
        <v>1241</v>
      </c>
      <c r="E51" s="27">
        <v>45880</v>
      </c>
      <c r="F51" s="27" t="str">
        <f t="shared" si="0"/>
        <v>Returning</v>
      </c>
      <c r="G51" s="28" t="s">
        <v>170</v>
      </c>
      <c r="H51" s="28" t="s">
        <v>199</v>
      </c>
      <c r="I51" s="28" t="s">
        <v>179</v>
      </c>
      <c r="J51" s="28" t="s">
        <v>1048</v>
      </c>
      <c r="K51" s="29">
        <v>2</v>
      </c>
      <c r="L51" s="28" t="s">
        <v>173</v>
      </c>
      <c r="M51" s="28" t="s">
        <v>159</v>
      </c>
      <c r="N51" s="28"/>
      <c r="O51" s="28" t="s">
        <v>130</v>
      </c>
      <c r="P51" s="28" t="str">
        <f t="shared" si="1"/>
        <v/>
      </c>
      <c r="Q51" s="29">
        <v>3</v>
      </c>
      <c r="R51" s="29">
        <v>44</v>
      </c>
      <c r="S51" s="28" t="s">
        <v>826</v>
      </c>
      <c r="T51" s="30" t="str">
        <f>_xlfn.CONCAT(Table5[[#This Row],[OrderID]]," | ",Table5[[#This Row],[City]]," | ",Table5[[#This Row],[ItemName]])</f>
        <v xml:space="preserve">ORD-1049 | Butwal | Chicken Pizza  </v>
      </c>
      <c r="U51" s="30" t="str">
        <f>UPPER(Table5[[#This Row],[City]])</f>
        <v>BUTWAL</v>
      </c>
      <c r="V51" s="30" t="str">
        <f>LOWER(Table5[[#This Row],[PaymentMethod]])</f>
        <v>khalti</v>
      </c>
      <c r="W51" s="30" cm="1">
        <f t="array" ref="W51">_xlfn.XLOOKUP(TRIM(Table5[[#This Row],[ItemName]]), TRIM(Menu_Price_List_tbl[ItemName]),Menu_Price_List_tbl[UnitPrice_NPR])</f>
        <v>650</v>
      </c>
      <c r="X51" s="31">
        <f t="shared" si="2"/>
        <v>1300</v>
      </c>
      <c r="Y51" s="30">
        <f>_xlfn.XLOOKUP(Table5[[#This Row],[City]],City_Delivery_Fee_tbl[City],City_Delivery_Fee_tbl[BaseDeliveryFee_NPR])</f>
        <v>85</v>
      </c>
      <c r="Z5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51" s="31">
        <f>Table5[[#This Row],[Order Amount]]+Table5[[#This Row],[Delivery Fee]]-Table5[[#This Row],[Discount Amount]]</f>
        <v>1385</v>
      </c>
      <c r="AB51" s="30" t="str">
        <f>_xlfn.XLOOKUP(Table5[[#This Row],[RiderID]], Rider_Directory!$F$2:$F$26, Rider_Directory!$B$2:$B$26)</f>
        <v>Butwal</v>
      </c>
      <c r="AC51" s="30" t="str" cm="1">
        <f t="array" ref="AC51">_xlfn.IFS(Table5[[#This Row],[Final Amount]]&lt;500, "Small", Table5[[#This Row],[Final Amount]]&lt;=1000, "Medium", Table5[[#This Row],[Final Amount]]&gt;1000, "Large")</f>
        <v>Large</v>
      </c>
      <c r="AD51" s="30" t="str">
        <f>_xlfn.LET(_xlpm.expiry,_xlfn.XLOOKUP(Table5[[#This Row],[PromoCode]],Promo_Codes!$A$2:$A$9,Promo_Codes!$F$2:$F$9,DATE(2099,1,1)),IF(Table5[[#This Row],[OrderDate]]&gt;_xlpm.expiry,"Expired Code Used","Valid"))</f>
        <v>Valid</v>
      </c>
    </row>
    <row r="52" spans="1:30" x14ac:dyDescent="0.3">
      <c r="A52" s="28" t="s">
        <v>869</v>
      </c>
      <c r="B52" s="27">
        <v>45911</v>
      </c>
      <c r="C52" s="28" t="s">
        <v>1127</v>
      </c>
      <c r="D52" s="28" t="s">
        <v>1207</v>
      </c>
      <c r="E52" s="27">
        <v>45909</v>
      </c>
      <c r="F52" s="27" t="str">
        <f t="shared" si="0"/>
        <v>New</v>
      </c>
      <c r="G52" s="28" t="s">
        <v>135</v>
      </c>
      <c r="H52" s="28" t="s">
        <v>155</v>
      </c>
      <c r="I52" s="28" t="s">
        <v>156</v>
      </c>
      <c r="J52" s="28" t="s">
        <v>317</v>
      </c>
      <c r="K52" s="29">
        <v>1</v>
      </c>
      <c r="L52" s="28" t="s">
        <v>218</v>
      </c>
      <c r="M52" s="28" t="s">
        <v>128</v>
      </c>
      <c r="N52" s="28"/>
      <c r="O52" s="28" t="s">
        <v>130</v>
      </c>
      <c r="P52" s="28" t="str">
        <f t="shared" si="1"/>
        <v/>
      </c>
      <c r="Q52" s="29">
        <v>3</v>
      </c>
      <c r="R52" s="29">
        <v>30</v>
      </c>
      <c r="S52" s="28" t="s">
        <v>150</v>
      </c>
      <c r="T52" s="30" t="str">
        <f>_xlfn.CONCAT(Table5[[#This Row],[OrderID]]," | ",Table5[[#This Row],[City]]," | ",Table5[[#This Row],[ItemName]])</f>
        <v>ORD-1050 | Kathmandu | Chicken Fried Rice</v>
      </c>
      <c r="U52" s="30" t="str">
        <f>UPPER(Table5[[#This Row],[City]])</f>
        <v>KATHMANDU</v>
      </c>
      <c r="V52" s="30" t="str">
        <f>LOWER(Table5[[#This Row],[PaymentMethod]])</f>
        <v>esewa</v>
      </c>
      <c r="W52" s="30" cm="1">
        <f t="array" ref="W52">_xlfn.XLOOKUP(TRIM(Table5[[#This Row],[ItemName]]), TRIM(Menu_Price_List_tbl[ItemName]),Menu_Price_List_tbl[UnitPrice_NPR])</f>
        <v>260</v>
      </c>
      <c r="X52" s="31">
        <f t="shared" si="2"/>
        <v>260</v>
      </c>
      <c r="Y52" s="30">
        <f>_xlfn.XLOOKUP(Table5[[#This Row],[City]],City_Delivery_Fee_tbl[City],City_Delivery_Fee_tbl[BaseDeliveryFee_NPR])</f>
        <v>50</v>
      </c>
      <c r="Z5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52" s="31">
        <f>Table5[[#This Row],[Order Amount]]+Table5[[#This Row],[Delivery Fee]]-Table5[[#This Row],[Discount Amount]]</f>
        <v>310</v>
      </c>
      <c r="AB52" s="30" t="str">
        <f>_xlfn.XLOOKUP(Table5[[#This Row],[RiderID]], Rider_Directory!$F$2:$F$26, Rider_Directory!$B$2:$B$26)</f>
        <v>Kathmandu</v>
      </c>
      <c r="AC52" s="30" t="str" cm="1">
        <f t="array" ref="AC52">_xlfn.IFS(Table5[[#This Row],[Final Amount]]&lt;500, "Small", Table5[[#This Row],[Final Amount]]&lt;=1000, "Medium", Table5[[#This Row],[Final Amount]]&gt;1000, "Large")</f>
        <v>Small</v>
      </c>
      <c r="AD52" s="30" t="str">
        <f>_xlfn.LET(_xlpm.expiry,_xlfn.XLOOKUP(Table5[[#This Row],[PromoCode]],Promo_Codes!$A$2:$A$9,Promo_Codes!$F$2:$F$9,DATE(2099,1,1)),IF(Table5[[#This Row],[OrderDate]]&gt;_xlpm.expiry,"Expired Code Used","Valid"))</f>
        <v>Valid</v>
      </c>
    </row>
    <row r="53" spans="1:30" x14ac:dyDescent="0.3">
      <c r="A53" s="28" t="s">
        <v>1013</v>
      </c>
      <c r="B53" s="27">
        <v>45911</v>
      </c>
      <c r="C53" s="28" t="s">
        <v>1153</v>
      </c>
      <c r="D53" s="28" t="s">
        <v>1279</v>
      </c>
      <c r="E53" s="27">
        <v>45909</v>
      </c>
      <c r="F53" s="27" t="str">
        <f t="shared" si="0"/>
        <v>New</v>
      </c>
      <c r="G53" s="28" t="s">
        <v>198</v>
      </c>
      <c r="H53" s="28" t="s">
        <v>245</v>
      </c>
      <c r="I53" s="28" t="s">
        <v>233</v>
      </c>
      <c r="J53" s="28" t="s">
        <v>246</v>
      </c>
      <c r="K53" s="29">
        <v>3</v>
      </c>
      <c r="L53" s="28" t="s">
        <v>213</v>
      </c>
      <c r="M53" s="28" t="s">
        <v>278</v>
      </c>
      <c r="N53" s="28"/>
      <c r="O53" s="28" t="s">
        <v>130</v>
      </c>
      <c r="P53" s="28" t="str">
        <f t="shared" si="1"/>
        <v/>
      </c>
      <c r="Q53" s="29">
        <v>4</v>
      </c>
      <c r="R53" s="29">
        <v>43</v>
      </c>
      <c r="S53" s="28" t="s">
        <v>291</v>
      </c>
      <c r="T53" s="30" t="str">
        <f>_xlfn.CONCAT(Table5[[#This Row],[OrderID]]," | ",Table5[[#This Row],[City]]," | ",Table5[[#This Row],[ItemName]])</f>
        <v>ORD-1051 | Lalitpur | Chicken Momo (Fried)</v>
      </c>
      <c r="U53" s="30" t="str">
        <f>UPPER(Table5[[#This Row],[City]])</f>
        <v>LALITPUR</v>
      </c>
      <c r="V53" s="30" t="str">
        <f>LOWER(Table5[[#This Row],[PaymentMethod]])</f>
        <v>connectips</v>
      </c>
      <c r="W53" s="30" cm="1">
        <f t="array" ref="W53">_xlfn.XLOOKUP(TRIM(Table5[[#This Row],[ItemName]]), TRIM(Menu_Price_List_tbl[ItemName]),Menu_Price_List_tbl[UnitPrice_NPR])</f>
        <v>210</v>
      </c>
      <c r="X53" s="31">
        <f t="shared" si="2"/>
        <v>630</v>
      </c>
      <c r="Y53" s="30">
        <f>_xlfn.XLOOKUP(Table5[[#This Row],[City]],City_Delivery_Fee_tbl[City],City_Delivery_Fee_tbl[BaseDeliveryFee_NPR])</f>
        <v>50</v>
      </c>
      <c r="Z5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53" s="31">
        <f>Table5[[#This Row],[Order Amount]]+Table5[[#This Row],[Delivery Fee]]-Table5[[#This Row],[Discount Amount]]</f>
        <v>680</v>
      </c>
      <c r="AB53" s="30" t="str">
        <f>_xlfn.XLOOKUP(Table5[[#This Row],[RiderID]], Rider_Directory!$F$2:$F$26, Rider_Directory!$B$2:$B$26)</f>
        <v>Lalitpur</v>
      </c>
      <c r="AC53" s="30" t="str" cm="1">
        <f t="array" ref="AC53">_xlfn.IFS(Table5[[#This Row],[Final Amount]]&lt;500, "Small", Table5[[#This Row],[Final Amount]]&lt;=1000, "Medium", Table5[[#This Row],[Final Amount]]&gt;1000, "Large")</f>
        <v>Medium</v>
      </c>
      <c r="AD53" s="30" t="str">
        <f>_xlfn.LET(_xlpm.expiry,_xlfn.XLOOKUP(Table5[[#This Row],[PromoCode]],Promo_Codes!$A$2:$A$9,Promo_Codes!$F$2:$F$9,DATE(2099,1,1)),IF(Table5[[#This Row],[OrderDate]]&gt;_xlpm.expiry,"Expired Code Used","Valid"))</f>
        <v>Valid</v>
      </c>
    </row>
    <row r="54" spans="1:30" x14ac:dyDescent="0.3">
      <c r="A54" s="28" t="s">
        <v>912</v>
      </c>
      <c r="B54" s="27">
        <v>45912</v>
      </c>
      <c r="C54" s="28" t="s">
        <v>384</v>
      </c>
      <c r="D54" s="28" t="s">
        <v>1228</v>
      </c>
      <c r="E54" s="27">
        <v>45910</v>
      </c>
      <c r="F54" s="27" t="str">
        <f t="shared" si="0"/>
        <v>New</v>
      </c>
      <c r="G54" s="28" t="s">
        <v>170</v>
      </c>
      <c r="H54" s="28" t="s">
        <v>350</v>
      </c>
      <c r="I54" s="28" t="s">
        <v>351</v>
      </c>
      <c r="J54" s="28" t="s">
        <v>352</v>
      </c>
      <c r="K54" s="29">
        <v>1</v>
      </c>
      <c r="L54" s="28" t="s">
        <v>173</v>
      </c>
      <c r="M54" s="28" t="s">
        <v>128</v>
      </c>
      <c r="N54" s="28" t="s">
        <v>129</v>
      </c>
      <c r="O54" s="28" t="s">
        <v>130</v>
      </c>
      <c r="P54" s="28" t="str">
        <f t="shared" si="1"/>
        <v/>
      </c>
      <c r="Q54" s="29">
        <v>2</v>
      </c>
      <c r="R54" s="29">
        <v>28</v>
      </c>
      <c r="S54" s="28"/>
      <c r="T54" s="30" t="str">
        <f>_xlfn.CONCAT(Table5[[#This Row],[OrderID]]," | ",Table5[[#This Row],[City]]," | ",Table5[[#This Row],[ItemName]])</f>
        <v>ORD-1052 | Butwal | Buff Sekuwa</v>
      </c>
      <c r="U54" s="30" t="str">
        <f>UPPER(Table5[[#This Row],[City]])</f>
        <v>BUTWAL</v>
      </c>
      <c r="V54" s="30" t="str">
        <f>LOWER(Table5[[#This Row],[PaymentMethod]])</f>
        <v>esewa</v>
      </c>
      <c r="W54" s="30" cm="1">
        <f t="array" ref="W54">_xlfn.XLOOKUP(TRIM(Table5[[#This Row],[ItemName]]), TRIM(Menu_Price_List_tbl[ItemName]),Menu_Price_List_tbl[UnitPrice_NPR])</f>
        <v>380</v>
      </c>
      <c r="X54" s="31">
        <f t="shared" si="2"/>
        <v>380</v>
      </c>
      <c r="Y54" s="30">
        <f>_xlfn.XLOOKUP(Table5[[#This Row],[City]],City_Delivery_Fee_tbl[City],City_Delivery_Fee_tbl[BaseDeliveryFee_NPR])</f>
        <v>85</v>
      </c>
      <c r="Z5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54" s="31">
        <f>Table5[[#This Row],[Order Amount]]+Table5[[#This Row],[Delivery Fee]]-Table5[[#This Row],[Discount Amount]]</f>
        <v>365</v>
      </c>
      <c r="AB54" s="30" t="str">
        <f>_xlfn.XLOOKUP(Table5[[#This Row],[RiderID]], Rider_Directory!$F$2:$F$26, Rider_Directory!$B$2:$B$26)</f>
        <v>Butwal</v>
      </c>
      <c r="AC54" s="30" t="str" cm="1">
        <f t="array" ref="AC54">_xlfn.IFS(Table5[[#This Row],[Final Amount]]&lt;500, "Small", Table5[[#This Row],[Final Amount]]&lt;=1000, "Medium", Table5[[#This Row],[Final Amount]]&gt;1000, "Large")</f>
        <v>Small</v>
      </c>
      <c r="AD54" s="30" t="str">
        <f>_xlfn.LET(_xlpm.expiry,_xlfn.XLOOKUP(Table5[[#This Row],[PromoCode]],Promo_Codes!$A$2:$A$9,Promo_Codes!$F$2:$F$9,DATE(2099,1,1)),IF(Table5[[#This Row],[OrderDate]]&gt;_xlpm.expiry,"Expired Code Used","Valid"))</f>
        <v>Valid</v>
      </c>
    </row>
    <row r="55" spans="1:30" x14ac:dyDescent="0.3">
      <c r="A55" s="28" t="s">
        <v>195</v>
      </c>
      <c r="B55" s="27">
        <v>45913</v>
      </c>
      <c r="C55" s="28" t="s">
        <v>1158</v>
      </c>
      <c r="D55" s="28" t="s">
        <v>1168</v>
      </c>
      <c r="E55" s="27">
        <v>45913</v>
      </c>
      <c r="F55" s="27" t="str">
        <f t="shared" si="0"/>
        <v>New</v>
      </c>
      <c r="G55" s="28" t="s">
        <v>198</v>
      </c>
      <c r="H55" s="28" t="s">
        <v>199</v>
      </c>
      <c r="I55" s="28" t="s">
        <v>179</v>
      </c>
      <c r="J55" s="28" t="s">
        <v>200</v>
      </c>
      <c r="K55" s="29">
        <v>1</v>
      </c>
      <c r="L55" s="28" t="s">
        <v>201</v>
      </c>
      <c r="M55" s="28" t="s">
        <v>159</v>
      </c>
      <c r="N55" s="28"/>
      <c r="O55" s="28" t="s">
        <v>130</v>
      </c>
      <c r="P55" s="28" t="str">
        <f t="shared" si="1"/>
        <v/>
      </c>
      <c r="Q55" s="29">
        <v>4</v>
      </c>
      <c r="R55" s="29">
        <v>30</v>
      </c>
      <c r="S55" s="28" t="s">
        <v>202</v>
      </c>
      <c r="T55" s="30" t="str">
        <f>_xlfn.CONCAT(Table5[[#This Row],[OrderID]]," | ",Table5[[#This Row],[City]]," | ",Table5[[#This Row],[ItemName]])</f>
        <v>ORD-1053 | Lalitpur | Chicken Pizza</v>
      </c>
      <c r="U55" s="30" t="str">
        <f>UPPER(Table5[[#This Row],[City]])</f>
        <v>LALITPUR</v>
      </c>
      <c r="V55" s="30" t="str">
        <f>LOWER(Table5[[#This Row],[PaymentMethod]])</f>
        <v>khalti</v>
      </c>
      <c r="W55" s="30" cm="1">
        <f t="array" ref="W55">_xlfn.XLOOKUP(TRIM(Table5[[#This Row],[ItemName]]), TRIM(Menu_Price_List_tbl[ItemName]),Menu_Price_List_tbl[UnitPrice_NPR])</f>
        <v>650</v>
      </c>
      <c r="X55" s="31">
        <f t="shared" si="2"/>
        <v>650</v>
      </c>
      <c r="Y55" s="30">
        <f>_xlfn.XLOOKUP(Table5[[#This Row],[City]],City_Delivery_Fee_tbl[City],City_Delivery_Fee_tbl[BaseDeliveryFee_NPR])</f>
        <v>50</v>
      </c>
      <c r="Z5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55" s="31">
        <f>Table5[[#This Row],[Order Amount]]+Table5[[#This Row],[Delivery Fee]]-Table5[[#This Row],[Discount Amount]]</f>
        <v>700</v>
      </c>
      <c r="AB55" s="30" t="str">
        <f>_xlfn.XLOOKUP(Table5[[#This Row],[RiderID]], Rider_Directory!$F$2:$F$26, Rider_Directory!$B$2:$B$26)</f>
        <v>Lalitpur</v>
      </c>
      <c r="AC55" s="30" t="str" cm="1">
        <f t="array" ref="AC55">_xlfn.IFS(Table5[[#This Row],[Final Amount]]&lt;500, "Small", Table5[[#This Row],[Final Amount]]&lt;=1000, "Medium", Table5[[#This Row],[Final Amount]]&gt;1000, "Large")</f>
        <v>Medium</v>
      </c>
      <c r="AD55" s="30" t="str">
        <f>_xlfn.LET(_xlpm.expiry,_xlfn.XLOOKUP(Table5[[#This Row],[PromoCode]],Promo_Codes!$A$2:$A$9,Promo_Codes!$F$2:$F$9,DATE(2099,1,1)),IF(Table5[[#This Row],[OrderDate]]&gt;_xlpm.expiry,"Expired Code Used","Valid"))</f>
        <v>Valid</v>
      </c>
    </row>
    <row r="56" spans="1:30" x14ac:dyDescent="0.3">
      <c r="A56" s="28" t="s">
        <v>354</v>
      </c>
      <c r="B56" s="27">
        <v>45913</v>
      </c>
      <c r="C56" s="28" t="s">
        <v>355</v>
      </c>
      <c r="D56" s="28" t="s">
        <v>1194</v>
      </c>
      <c r="E56" s="27">
        <v>45911</v>
      </c>
      <c r="F56" s="27" t="str">
        <f t="shared" si="0"/>
        <v>New</v>
      </c>
      <c r="G56" s="28" t="s">
        <v>206</v>
      </c>
      <c r="H56" s="28" t="s">
        <v>163</v>
      </c>
      <c r="I56" s="28" t="s">
        <v>164</v>
      </c>
      <c r="J56" s="28" t="s">
        <v>357</v>
      </c>
      <c r="K56" s="29">
        <v>2</v>
      </c>
      <c r="L56" s="28" t="s">
        <v>358</v>
      </c>
      <c r="M56" s="28" t="s">
        <v>140</v>
      </c>
      <c r="N56" s="28"/>
      <c r="O56" s="28" t="s">
        <v>235</v>
      </c>
      <c r="P56" s="28" t="str">
        <f t="shared" si="1"/>
        <v/>
      </c>
      <c r="Q56" s="28"/>
      <c r="R56" s="29">
        <v>25</v>
      </c>
      <c r="S56" s="28" t="s">
        <v>359</v>
      </c>
      <c r="T56" s="30" t="str">
        <f>_xlfn.CONCAT(Table5[[#This Row],[OrderID]]," | ",Table5[[#This Row],[City]]," | ",Table5[[#This Row],[ItemName]])</f>
        <v>ORD-1054 | Pokhara | LEMON SODA</v>
      </c>
      <c r="U56" s="30" t="str">
        <f>UPPER(Table5[[#This Row],[City]])</f>
        <v>POKHARA</v>
      </c>
      <c r="V56" s="30" t="str">
        <f>LOWER(Table5[[#This Row],[PaymentMethod]])</f>
        <v>cash on delivery</v>
      </c>
      <c r="W56" s="30" cm="1">
        <f t="array" ref="W56">_xlfn.XLOOKUP(TRIM(Table5[[#This Row],[ItemName]]), TRIM(Menu_Price_List_tbl[ItemName]),Menu_Price_List_tbl[UnitPrice_NPR])</f>
        <v>100</v>
      </c>
      <c r="X56" s="31">
        <f t="shared" si="2"/>
        <v>200</v>
      </c>
      <c r="Y56" s="30">
        <f>_xlfn.XLOOKUP(Table5[[#This Row],[City]],City_Delivery_Fee_tbl[City],City_Delivery_Fee_tbl[BaseDeliveryFee_NPR])</f>
        <v>70</v>
      </c>
      <c r="Z5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56" s="31">
        <f>Table5[[#This Row],[Order Amount]]+Table5[[#This Row],[Delivery Fee]]-Table5[[#This Row],[Discount Amount]]</f>
        <v>270</v>
      </c>
      <c r="AB56" s="30" t="str">
        <f>_xlfn.XLOOKUP(Table5[[#This Row],[RiderID]], Rider_Directory!$F$2:$F$26, Rider_Directory!$B$2:$B$26)</f>
        <v>Pokhara</v>
      </c>
      <c r="AC56" s="30" t="str" cm="1">
        <f t="array" ref="AC56">_xlfn.IFS(Table5[[#This Row],[Final Amount]]&lt;500, "Small", Table5[[#This Row],[Final Amount]]&lt;=1000, "Medium", Table5[[#This Row],[Final Amount]]&gt;1000, "Large")</f>
        <v>Small</v>
      </c>
      <c r="AD56" s="30" t="str">
        <f>_xlfn.LET(_xlpm.expiry,_xlfn.XLOOKUP(Table5[[#This Row],[PromoCode]],Promo_Codes!$A$2:$A$9,Promo_Codes!$F$2:$F$9,DATE(2099,1,1)),IF(Table5[[#This Row],[OrderDate]]&gt;_xlpm.expiry,"Expired Code Used","Valid"))</f>
        <v>Valid</v>
      </c>
    </row>
    <row r="57" spans="1:30" x14ac:dyDescent="0.3">
      <c r="A57" s="28" t="s">
        <v>685</v>
      </c>
      <c r="B57" s="27">
        <v>45915</v>
      </c>
      <c r="C57" s="28" t="s">
        <v>686</v>
      </c>
      <c r="D57" s="28" t="s">
        <v>1167</v>
      </c>
      <c r="E57" s="27">
        <v>45877</v>
      </c>
      <c r="F57" s="27" t="str">
        <f t="shared" si="0"/>
        <v>Returning</v>
      </c>
      <c r="G57" s="28" t="s">
        <v>170</v>
      </c>
      <c r="H57" s="28" t="s">
        <v>136</v>
      </c>
      <c r="I57" s="28" t="s">
        <v>137</v>
      </c>
      <c r="J57" s="28" t="s">
        <v>138</v>
      </c>
      <c r="K57" s="29">
        <v>2</v>
      </c>
      <c r="L57" s="28" t="s">
        <v>173</v>
      </c>
      <c r="M57" s="28" t="s">
        <v>140</v>
      </c>
      <c r="N57" s="28"/>
      <c r="O57" s="28" t="s">
        <v>130</v>
      </c>
      <c r="P57" s="28" t="str">
        <f t="shared" si="1"/>
        <v/>
      </c>
      <c r="Q57" s="29">
        <v>3</v>
      </c>
      <c r="R57" s="29">
        <v>31</v>
      </c>
      <c r="S57" s="28"/>
      <c r="T57" s="30" t="str">
        <f>_xlfn.CONCAT(Table5[[#This Row],[OrderID]]," | ",Table5[[#This Row],[City]]," | ",Table5[[#This Row],[ItemName]])</f>
        <v>ORD-1055 | Butwal | Chicken Thakali Set</v>
      </c>
      <c r="U57" s="30" t="str">
        <f>UPPER(Table5[[#This Row],[City]])</f>
        <v>BUTWAL</v>
      </c>
      <c r="V57" s="30" t="str">
        <f>LOWER(Table5[[#This Row],[PaymentMethod]])</f>
        <v>cash on delivery</v>
      </c>
      <c r="W57" s="30" cm="1">
        <f t="array" ref="W57">_xlfn.XLOOKUP(TRIM(Table5[[#This Row],[ItemName]]), TRIM(Menu_Price_List_tbl[ItemName]),Menu_Price_List_tbl[UnitPrice_NPR])</f>
        <v>480</v>
      </c>
      <c r="X57" s="31">
        <f t="shared" si="2"/>
        <v>960</v>
      </c>
      <c r="Y57" s="30">
        <f>_xlfn.XLOOKUP(Table5[[#This Row],[City]],City_Delivery_Fee_tbl[City],City_Delivery_Fee_tbl[BaseDeliveryFee_NPR])</f>
        <v>85</v>
      </c>
      <c r="Z5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57" s="31">
        <f>Table5[[#This Row],[Order Amount]]+Table5[[#This Row],[Delivery Fee]]-Table5[[#This Row],[Discount Amount]]</f>
        <v>1045</v>
      </c>
      <c r="AB57" s="30" t="str">
        <f>_xlfn.XLOOKUP(Table5[[#This Row],[RiderID]], Rider_Directory!$F$2:$F$26, Rider_Directory!$B$2:$B$26)</f>
        <v>Butwal</v>
      </c>
      <c r="AC57" s="30" t="str" cm="1">
        <f t="array" ref="AC57">_xlfn.IFS(Table5[[#This Row],[Final Amount]]&lt;500, "Small", Table5[[#This Row],[Final Amount]]&lt;=1000, "Medium", Table5[[#This Row],[Final Amount]]&gt;1000, "Large")</f>
        <v>Large</v>
      </c>
      <c r="AD57" s="30" t="str">
        <f>_xlfn.LET(_xlpm.expiry,_xlfn.XLOOKUP(Table5[[#This Row],[PromoCode]],Promo_Codes!$A$2:$A$9,Promo_Codes!$F$2:$F$9,DATE(2099,1,1)),IF(Table5[[#This Row],[OrderDate]]&gt;_xlpm.expiry,"Expired Code Used","Valid"))</f>
        <v>Valid</v>
      </c>
    </row>
    <row r="58" spans="1:30" x14ac:dyDescent="0.3">
      <c r="A58" s="28" t="s">
        <v>299</v>
      </c>
      <c r="B58" s="27">
        <v>45916</v>
      </c>
      <c r="C58" s="28" t="s">
        <v>282</v>
      </c>
      <c r="D58" s="28" t="s">
        <v>1183</v>
      </c>
      <c r="E58" s="27">
        <v>45916</v>
      </c>
      <c r="F58" s="27" t="str">
        <f t="shared" si="0"/>
        <v>New</v>
      </c>
      <c r="G58" s="28" t="s">
        <v>177</v>
      </c>
      <c r="H58" s="28" t="s">
        <v>232</v>
      </c>
      <c r="I58" s="28" t="s">
        <v>233</v>
      </c>
      <c r="J58" s="28" t="s">
        <v>301</v>
      </c>
      <c r="K58" s="29">
        <v>3</v>
      </c>
      <c r="L58" s="28" t="s">
        <v>181</v>
      </c>
      <c r="M58" s="28" t="s">
        <v>247</v>
      </c>
      <c r="N58" s="28" t="s">
        <v>240</v>
      </c>
      <c r="O58" s="28" t="s">
        <v>130</v>
      </c>
      <c r="P58" s="28" t="str">
        <f t="shared" si="1"/>
        <v/>
      </c>
      <c r="Q58" s="29">
        <v>5</v>
      </c>
      <c r="R58" s="29">
        <v>30</v>
      </c>
      <c r="S58" s="28" t="s">
        <v>302</v>
      </c>
      <c r="T58" s="30" t="str">
        <f>_xlfn.CONCAT(Table5[[#This Row],[OrderID]]," | ",Table5[[#This Row],[City]]," | ",Table5[[#This Row],[ItemName]])</f>
        <v>ORD-1056 | Bhaktapur | Veg Momo (Steamed)</v>
      </c>
      <c r="U58" s="30" t="str">
        <f>UPPER(Table5[[#This Row],[City]])</f>
        <v>BHAKTAPUR</v>
      </c>
      <c r="V58" s="30" t="str">
        <f>LOWER(Table5[[#This Row],[PaymentMethod]])</f>
        <v>ime pay</v>
      </c>
      <c r="W58" s="30" cm="1">
        <f t="array" ref="W58">_xlfn.XLOOKUP(TRIM(Table5[[#This Row],[ItemName]]), TRIM(Menu_Price_List_tbl[ItemName]),Menu_Price_List_tbl[UnitPrice_NPR])</f>
        <v>150</v>
      </c>
      <c r="X58" s="31">
        <f t="shared" si="2"/>
        <v>450</v>
      </c>
      <c r="Y58" s="30">
        <f>_xlfn.XLOOKUP(Table5[[#This Row],[City]],City_Delivery_Fee_tbl[City],City_Delivery_Fee_tbl[BaseDeliveryFee_NPR])</f>
        <v>55</v>
      </c>
      <c r="Z5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90</v>
      </c>
      <c r="AA58" s="31">
        <f>Table5[[#This Row],[Order Amount]]+Table5[[#This Row],[Delivery Fee]]-Table5[[#This Row],[Discount Amount]]</f>
        <v>415</v>
      </c>
      <c r="AB58" s="30" t="str">
        <f>_xlfn.XLOOKUP(Table5[[#This Row],[RiderID]], Rider_Directory!$F$2:$F$26, Rider_Directory!$B$2:$B$26)</f>
        <v>Bhaktapur</v>
      </c>
      <c r="AC58" s="30" t="str" cm="1">
        <f t="array" ref="AC58">_xlfn.IFS(Table5[[#This Row],[Final Amount]]&lt;500, "Small", Table5[[#This Row],[Final Amount]]&lt;=1000, "Medium", Table5[[#This Row],[Final Amount]]&gt;1000, "Large")</f>
        <v>Small</v>
      </c>
      <c r="AD58" s="30" t="str">
        <f>_xlfn.LET(_xlpm.expiry,_xlfn.XLOOKUP(Table5[[#This Row],[PromoCode]],Promo_Codes!$A$2:$A$9,Promo_Codes!$F$2:$F$9,DATE(2099,1,1)),IF(Table5[[#This Row],[OrderDate]]&gt;_xlpm.expiry,"Expired Code Used","Valid"))</f>
        <v>Valid</v>
      </c>
    </row>
    <row r="59" spans="1:30" x14ac:dyDescent="0.3">
      <c r="A59" s="28" t="s">
        <v>533</v>
      </c>
      <c r="B59" s="27">
        <v>45917</v>
      </c>
      <c r="C59" s="28" t="s">
        <v>430</v>
      </c>
      <c r="D59" s="28" t="s">
        <v>1209</v>
      </c>
      <c r="E59" s="27">
        <v>45917</v>
      </c>
      <c r="F59" s="27" t="str">
        <f t="shared" si="0"/>
        <v>New</v>
      </c>
      <c r="G59" s="28" t="s">
        <v>123</v>
      </c>
      <c r="H59" s="28" t="s">
        <v>288</v>
      </c>
      <c r="I59" s="28" t="s">
        <v>156</v>
      </c>
      <c r="J59" s="28" t="s">
        <v>389</v>
      </c>
      <c r="K59" s="29">
        <v>1</v>
      </c>
      <c r="L59" s="28" t="s">
        <v>290</v>
      </c>
      <c r="M59" s="28" t="s">
        <v>159</v>
      </c>
      <c r="N59" s="28"/>
      <c r="O59" s="28" t="s">
        <v>279</v>
      </c>
      <c r="P59" s="28" t="str">
        <f t="shared" si="1"/>
        <v/>
      </c>
      <c r="Q59" s="28"/>
      <c r="R59" s="29">
        <v>46</v>
      </c>
      <c r="S59" s="28"/>
      <c r="T59" s="30" t="str">
        <f>_xlfn.CONCAT(Table5[[#This Row],[OrderID]]," | ",Table5[[#This Row],[City]]," | ",Table5[[#This Row],[ItemName]])</f>
        <v>ORD-1057 | Biratnagar | Veg Chopsuey</v>
      </c>
      <c r="U59" s="30" t="str">
        <f>UPPER(Table5[[#This Row],[City]])</f>
        <v>BIRATNAGAR</v>
      </c>
      <c r="V59" s="30" t="str">
        <f>LOWER(Table5[[#This Row],[PaymentMethod]])</f>
        <v>khalti</v>
      </c>
      <c r="W59" s="30" cm="1">
        <f t="array" ref="W59">_xlfn.XLOOKUP(TRIM(Table5[[#This Row],[ItemName]]), TRIM(Menu_Price_List_tbl[ItemName]),Menu_Price_List_tbl[UnitPrice_NPR])</f>
        <v>260</v>
      </c>
      <c r="X59" s="31">
        <f t="shared" si="2"/>
        <v>260</v>
      </c>
      <c r="Y59" s="30">
        <f>_xlfn.XLOOKUP(Table5[[#This Row],[City]],City_Delivery_Fee_tbl[City],City_Delivery_Fee_tbl[BaseDeliveryFee_NPR])</f>
        <v>90</v>
      </c>
      <c r="Z5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59" s="31">
        <f>Table5[[#This Row],[Order Amount]]+Table5[[#This Row],[Delivery Fee]]-Table5[[#This Row],[Discount Amount]]</f>
        <v>350</v>
      </c>
      <c r="AB59" s="30" t="str">
        <f>_xlfn.XLOOKUP(Table5[[#This Row],[RiderID]], Rider_Directory!$F$2:$F$26, Rider_Directory!$B$2:$B$26)</f>
        <v>Biratnagar</v>
      </c>
      <c r="AC59" s="30" t="str" cm="1">
        <f t="array" ref="AC59">_xlfn.IFS(Table5[[#This Row],[Final Amount]]&lt;500, "Small", Table5[[#This Row],[Final Amount]]&lt;=1000, "Medium", Table5[[#This Row],[Final Amount]]&gt;1000, "Large")</f>
        <v>Small</v>
      </c>
      <c r="AD59" s="30" t="str">
        <f>_xlfn.LET(_xlpm.expiry,_xlfn.XLOOKUP(Table5[[#This Row],[PromoCode]],Promo_Codes!$A$2:$A$9,Promo_Codes!$F$2:$F$9,DATE(2099,1,1)),IF(Table5[[#This Row],[OrderDate]]&gt;_xlpm.expiry,"Expired Code Used","Valid"))</f>
        <v>Valid</v>
      </c>
    </row>
    <row r="60" spans="1:30" x14ac:dyDescent="0.3">
      <c r="A60" s="28" t="s">
        <v>321</v>
      </c>
      <c r="B60" s="27">
        <v>45918</v>
      </c>
      <c r="C60" s="28" t="s">
        <v>322</v>
      </c>
      <c r="D60" s="28" t="s">
        <v>1162</v>
      </c>
      <c r="E60" s="27">
        <v>45916</v>
      </c>
      <c r="F60" s="27" t="str">
        <f t="shared" si="0"/>
        <v>New</v>
      </c>
      <c r="G60" s="28" t="s">
        <v>123</v>
      </c>
      <c r="H60" s="28" t="s">
        <v>136</v>
      </c>
      <c r="I60" s="28" t="s">
        <v>137</v>
      </c>
      <c r="J60" s="28" t="s">
        <v>323</v>
      </c>
      <c r="K60" s="29">
        <v>3</v>
      </c>
      <c r="L60" s="28" t="s">
        <v>166</v>
      </c>
      <c r="M60" s="28" t="s">
        <v>128</v>
      </c>
      <c r="N60" s="28"/>
      <c r="O60" s="28" t="s">
        <v>130</v>
      </c>
      <c r="P60" s="28" t="str">
        <f t="shared" si="1"/>
        <v/>
      </c>
      <c r="Q60" s="29">
        <v>5</v>
      </c>
      <c r="R60" s="29">
        <v>50</v>
      </c>
      <c r="S60" s="28" t="s">
        <v>302</v>
      </c>
      <c r="T60" s="30" t="str">
        <f>_xlfn.CONCAT(Table5[[#This Row],[OrderID]]," | ",Table5[[#This Row],[City]]," | ",Table5[[#This Row],[ItemName]])</f>
        <v>ORD-1058 | Biratnagar |   Chicken Thakali Set</v>
      </c>
      <c r="U60" s="30" t="str">
        <f>UPPER(Table5[[#This Row],[City]])</f>
        <v>BIRATNAGAR</v>
      </c>
      <c r="V60" s="30" t="str">
        <f>LOWER(Table5[[#This Row],[PaymentMethod]])</f>
        <v>esewa</v>
      </c>
      <c r="W60" s="30" cm="1">
        <f t="array" ref="W60">_xlfn.XLOOKUP(TRIM(Table5[[#This Row],[ItemName]]), TRIM(Menu_Price_List_tbl[ItemName]),Menu_Price_List_tbl[UnitPrice_NPR])</f>
        <v>480</v>
      </c>
      <c r="X60" s="31">
        <f t="shared" si="2"/>
        <v>1440</v>
      </c>
      <c r="Y60" s="30">
        <f>_xlfn.XLOOKUP(Table5[[#This Row],[City]],City_Delivery_Fee_tbl[City],City_Delivery_Fee_tbl[BaseDeliveryFee_NPR])</f>
        <v>90</v>
      </c>
      <c r="Z6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60" s="31">
        <f>Table5[[#This Row],[Order Amount]]+Table5[[#This Row],[Delivery Fee]]-Table5[[#This Row],[Discount Amount]]</f>
        <v>1530</v>
      </c>
      <c r="AB60" s="30" t="str">
        <f>_xlfn.XLOOKUP(Table5[[#This Row],[RiderID]], Rider_Directory!$F$2:$F$26, Rider_Directory!$B$2:$B$26)</f>
        <v>Biratnagar</v>
      </c>
      <c r="AC60" s="30" t="str" cm="1">
        <f t="array" ref="AC60">_xlfn.IFS(Table5[[#This Row],[Final Amount]]&lt;500, "Small", Table5[[#This Row],[Final Amount]]&lt;=1000, "Medium", Table5[[#This Row],[Final Amount]]&gt;1000, "Large")</f>
        <v>Large</v>
      </c>
      <c r="AD60" s="30" t="str">
        <f>_xlfn.LET(_xlpm.expiry,_xlfn.XLOOKUP(Table5[[#This Row],[PromoCode]],Promo_Codes!$A$2:$A$9,Promo_Codes!$F$2:$F$9,DATE(2099,1,1)),IF(Table5[[#This Row],[OrderDate]]&gt;_xlpm.expiry,"Expired Code Used","Valid"))</f>
        <v>Valid</v>
      </c>
    </row>
    <row r="61" spans="1:30" x14ac:dyDescent="0.3">
      <c r="A61" s="28" t="s">
        <v>956</v>
      </c>
      <c r="B61" s="27">
        <v>45918</v>
      </c>
      <c r="C61" s="28" t="s">
        <v>610</v>
      </c>
      <c r="D61" s="28" t="s">
        <v>1238</v>
      </c>
      <c r="E61" s="27">
        <v>45916</v>
      </c>
      <c r="F61" s="27" t="str">
        <f t="shared" si="0"/>
        <v>New</v>
      </c>
      <c r="G61" s="28" t="s">
        <v>198</v>
      </c>
      <c r="H61" s="28" t="s">
        <v>146</v>
      </c>
      <c r="I61" s="28" t="s">
        <v>147</v>
      </c>
      <c r="J61" s="28" t="s">
        <v>958</v>
      </c>
      <c r="K61" s="29">
        <v>2</v>
      </c>
      <c r="L61" s="28" t="s">
        <v>201</v>
      </c>
      <c r="M61" s="28" t="s">
        <v>140</v>
      </c>
      <c r="N61" s="28"/>
      <c r="O61" s="28" t="s">
        <v>130</v>
      </c>
      <c r="P61" s="28" t="str">
        <f t="shared" si="1"/>
        <v/>
      </c>
      <c r="Q61" s="29">
        <v>5</v>
      </c>
      <c r="R61" s="29">
        <v>23</v>
      </c>
      <c r="S61" s="28"/>
      <c r="T61" s="30" t="str">
        <f>_xlfn.CONCAT(Table5[[#This Row],[OrderID]]," | ",Table5[[#This Row],[City]]," | ",Table5[[#This Row],[ItemName]])</f>
        <v>ORD-1059 | Lalitpur |   Chocolate Pastry</v>
      </c>
      <c r="U61" s="30" t="str">
        <f>UPPER(Table5[[#This Row],[City]])</f>
        <v>LALITPUR</v>
      </c>
      <c r="V61" s="30" t="str">
        <f>LOWER(Table5[[#This Row],[PaymentMethod]])</f>
        <v>cash on delivery</v>
      </c>
      <c r="W61" s="30" cm="1">
        <f t="array" ref="W61">_xlfn.XLOOKUP(TRIM(Table5[[#This Row],[ItemName]]), TRIM(Menu_Price_List_tbl[ItemName]),Menu_Price_List_tbl[UnitPrice_NPR])</f>
        <v>150</v>
      </c>
      <c r="X61" s="31">
        <f t="shared" si="2"/>
        <v>300</v>
      </c>
      <c r="Y61" s="30">
        <f>_xlfn.XLOOKUP(Table5[[#This Row],[City]],City_Delivery_Fee_tbl[City],City_Delivery_Fee_tbl[BaseDeliveryFee_NPR])</f>
        <v>50</v>
      </c>
      <c r="Z6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61" s="31">
        <f>Table5[[#This Row],[Order Amount]]+Table5[[#This Row],[Delivery Fee]]-Table5[[#This Row],[Discount Amount]]</f>
        <v>350</v>
      </c>
      <c r="AB61" s="30" t="str">
        <f>_xlfn.XLOOKUP(Table5[[#This Row],[RiderID]], Rider_Directory!$F$2:$F$26, Rider_Directory!$B$2:$B$26)</f>
        <v>Lalitpur</v>
      </c>
      <c r="AC61" s="30" t="str" cm="1">
        <f t="array" ref="AC61">_xlfn.IFS(Table5[[#This Row],[Final Amount]]&lt;500, "Small", Table5[[#This Row],[Final Amount]]&lt;=1000, "Medium", Table5[[#This Row],[Final Amount]]&gt;1000, "Large")</f>
        <v>Small</v>
      </c>
      <c r="AD61" s="30" t="str">
        <f>_xlfn.LET(_xlpm.expiry,_xlfn.XLOOKUP(Table5[[#This Row],[PromoCode]],Promo_Codes!$A$2:$A$9,Promo_Codes!$F$2:$F$9,DATE(2099,1,1)),IF(Table5[[#This Row],[OrderDate]]&gt;_xlpm.expiry,"Expired Code Used","Valid"))</f>
        <v>Valid</v>
      </c>
    </row>
    <row r="62" spans="1:30" x14ac:dyDescent="0.3">
      <c r="A62" s="28" t="s">
        <v>285</v>
      </c>
      <c r="B62" s="27">
        <v>45918</v>
      </c>
      <c r="C62" s="28" t="s">
        <v>487</v>
      </c>
      <c r="D62" s="28" t="s">
        <v>1184</v>
      </c>
      <c r="E62" s="27">
        <v>45918</v>
      </c>
      <c r="F62" s="27" t="str">
        <f t="shared" si="0"/>
        <v>New</v>
      </c>
      <c r="G62" s="28" t="s">
        <v>123</v>
      </c>
      <c r="H62" s="28" t="s">
        <v>288</v>
      </c>
      <c r="I62" s="28" t="s">
        <v>156</v>
      </c>
      <c r="J62" s="28" t="s">
        <v>289</v>
      </c>
      <c r="K62" s="29">
        <v>1</v>
      </c>
      <c r="L62" s="28" t="s">
        <v>290</v>
      </c>
      <c r="M62" s="28" t="s">
        <v>247</v>
      </c>
      <c r="N62" s="28"/>
      <c r="O62" s="28" t="s">
        <v>130</v>
      </c>
      <c r="P62" s="28" t="str">
        <f t="shared" si="1"/>
        <v/>
      </c>
      <c r="Q62" s="29">
        <v>4</v>
      </c>
      <c r="R62" s="29">
        <v>43</v>
      </c>
      <c r="S62" s="28" t="s">
        <v>291</v>
      </c>
      <c r="T62" s="30" t="str">
        <f>_xlfn.CONCAT(Table5[[#This Row],[OrderID]]," | ",Table5[[#This Row],[City]]," | ",Table5[[#This Row],[ItemName]])</f>
        <v>ORD-1060 | Biratnagar | chicken manchurian</v>
      </c>
      <c r="U62" s="30" t="str">
        <f>UPPER(Table5[[#This Row],[City]])</f>
        <v>BIRATNAGAR</v>
      </c>
      <c r="V62" s="30" t="str">
        <f>LOWER(Table5[[#This Row],[PaymentMethod]])</f>
        <v>ime pay</v>
      </c>
      <c r="W62" s="30" cm="1">
        <f t="array" ref="W62">_xlfn.XLOOKUP(TRIM(Table5[[#This Row],[ItemName]]), TRIM(Menu_Price_List_tbl[ItemName]),Menu_Price_List_tbl[UnitPrice_NPR])</f>
        <v>320</v>
      </c>
      <c r="X62" s="31">
        <f t="shared" si="2"/>
        <v>320</v>
      </c>
      <c r="Y62" s="30">
        <f>_xlfn.XLOOKUP(Table5[[#This Row],[City]],City_Delivery_Fee_tbl[City],City_Delivery_Fee_tbl[BaseDeliveryFee_NPR])</f>
        <v>90</v>
      </c>
      <c r="Z6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62" s="31">
        <f>Table5[[#This Row],[Order Amount]]+Table5[[#This Row],[Delivery Fee]]-Table5[[#This Row],[Discount Amount]]</f>
        <v>410</v>
      </c>
      <c r="AB62" s="30" t="str">
        <f>_xlfn.XLOOKUP(Table5[[#This Row],[RiderID]], Rider_Directory!$F$2:$F$26, Rider_Directory!$B$2:$B$26)</f>
        <v>Biratnagar</v>
      </c>
      <c r="AC62" s="30" t="str" cm="1">
        <f t="array" ref="AC62">_xlfn.IFS(Table5[[#This Row],[Final Amount]]&lt;500, "Small", Table5[[#This Row],[Final Amount]]&lt;=1000, "Medium", Table5[[#This Row],[Final Amount]]&gt;1000, "Large")</f>
        <v>Small</v>
      </c>
      <c r="AD62" s="30" t="str">
        <f>_xlfn.LET(_xlpm.expiry,_xlfn.XLOOKUP(Table5[[#This Row],[PromoCode]],Promo_Codes!$A$2:$A$9,Promo_Codes!$F$2:$F$9,DATE(2099,1,1)),IF(Table5[[#This Row],[OrderDate]]&gt;_xlpm.expiry,"Expired Code Used","Valid"))</f>
        <v>Valid</v>
      </c>
    </row>
    <row r="63" spans="1:30" x14ac:dyDescent="0.3">
      <c r="A63" s="28" t="s">
        <v>457</v>
      </c>
      <c r="B63" s="27">
        <v>45919</v>
      </c>
      <c r="C63" s="28" t="s">
        <v>458</v>
      </c>
      <c r="D63" s="28" t="s">
        <v>1196</v>
      </c>
      <c r="E63" s="27">
        <v>45871</v>
      </c>
      <c r="F63" s="27" t="str">
        <f t="shared" si="0"/>
        <v>Returning</v>
      </c>
      <c r="G63" s="28" t="s">
        <v>135</v>
      </c>
      <c r="H63" s="28" t="s">
        <v>288</v>
      </c>
      <c r="I63" s="28" t="s">
        <v>156</v>
      </c>
      <c r="J63" s="28" t="s">
        <v>459</v>
      </c>
      <c r="K63" s="29">
        <v>1</v>
      </c>
      <c r="L63" s="28" t="s">
        <v>277</v>
      </c>
      <c r="M63" s="28" t="s">
        <v>247</v>
      </c>
      <c r="N63" s="28" t="s">
        <v>129</v>
      </c>
      <c r="O63" s="28" t="s">
        <v>130</v>
      </c>
      <c r="P63" s="28" t="str">
        <f t="shared" si="1"/>
        <v/>
      </c>
      <c r="Q63" s="29">
        <v>5</v>
      </c>
      <c r="R63" s="29">
        <v>33</v>
      </c>
      <c r="S63" s="28" t="s">
        <v>291</v>
      </c>
      <c r="T63" s="30" t="str">
        <f>_xlfn.CONCAT(Table5[[#This Row],[OrderID]]," | ",Table5[[#This Row],[City]]," | ",Table5[[#This Row],[ItemName]])</f>
        <v xml:space="preserve">ORD-1061 | Kathmandu | Chicken Fried Rice  </v>
      </c>
      <c r="U63" s="30" t="str">
        <f>UPPER(Table5[[#This Row],[City]])</f>
        <v>KATHMANDU</v>
      </c>
      <c r="V63" s="30" t="str">
        <f>LOWER(Table5[[#This Row],[PaymentMethod]])</f>
        <v>ime pay</v>
      </c>
      <c r="W63" s="30" cm="1">
        <f t="array" ref="W63">_xlfn.XLOOKUP(TRIM(Table5[[#This Row],[ItemName]]), TRIM(Menu_Price_List_tbl[ItemName]),Menu_Price_List_tbl[UnitPrice_NPR])</f>
        <v>260</v>
      </c>
      <c r="X63" s="31">
        <f t="shared" si="2"/>
        <v>260</v>
      </c>
      <c r="Y63" s="30">
        <f>_xlfn.XLOOKUP(Table5[[#This Row],[City]],City_Delivery_Fee_tbl[City],City_Delivery_Fee_tbl[BaseDeliveryFee_NPR])</f>
        <v>50</v>
      </c>
      <c r="Z6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63" s="31">
        <f>Table5[[#This Row],[Order Amount]]+Table5[[#This Row],[Delivery Fee]]-Table5[[#This Row],[Discount Amount]]</f>
        <v>210</v>
      </c>
      <c r="AB63" s="30" t="str">
        <f>_xlfn.XLOOKUP(Table5[[#This Row],[RiderID]], Rider_Directory!$F$2:$F$26, Rider_Directory!$B$2:$B$26)</f>
        <v>Kathmandu</v>
      </c>
      <c r="AC63" s="30" t="str" cm="1">
        <f t="array" ref="AC63">_xlfn.IFS(Table5[[#This Row],[Final Amount]]&lt;500, "Small", Table5[[#This Row],[Final Amount]]&lt;=1000, "Medium", Table5[[#This Row],[Final Amount]]&gt;1000, "Large")</f>
        <v>Small</v>
      </c>
      <c r="AD63" s="30" t="str">
        <f>_xlfn.LET(_xlpm.expiry,_xlfn.XLOOKUP(Table5[[#This Row],[PromoCode]],Promo_Codes!$A$2:$A$9,Promo_Codes!$F$2:$F$9,DATE(2099,1,1)),IF(Table5[[#This Row],[OrderDate]]&gt;_xlpm.expiry,"Expired Code Used","Valid"))</f>
        <v>Valid</v>
      </c>
    </row>
    <row r="64" spans="1:30" x14ac:dyDescent="0.3">
      <c r="A64" s="28" t="s">
        <v>429</v>
      </c>
      <c r="B64" s="27">
        <v>45921</v>
      </c>
      <c r="C64" s="28" t="s">
        <v>430</v>
      </c>
      <c r="D64" s="28" t="s">
        <v>1209</v>
      </c>
      <c r="E64" s="27">
        <v>45917</v>
      </c>
      <c r="F64" s="27" t="str">
        <f t="shared" si="0"/>
        <v>Returning</v>
      </c>
      <c r="G64" s="28" t="s">
        <v>123</v>
      </c>
      <c r="H64" s="28" t="s">
        <v>199</v>
      </c>
      <c r="I64" s="28" t="s">
        <v>179</v>
      </c>
      <c r="J64" s="28" t="s">
        <v>200</v>
      </c>
      <c r="K64" s="29">
        <v>1</v>
      </c>
      <c r="L64" s="28" t="s">
        <v>166</v>
      </c>
      <c r="M64" s="28" t="s">
        <v>278</v>
      </c>
      <c r="N64" s="28"/>
      <c r="O64" s="28" t="s">
        <v>130</v>
      </c>
      <c r="P64" s="28" t="str">
        <f t="shared" si="1"/>
        <v/>
      </c>
      <c r="Q64" s="29">
        <v>5</v>
      </c>
      <c r="R64" s="29">
        <v>53</v>
      </c>
      <c r="S64" s="28" t="s">
        <v>131</v>
      </c>
      <c r="T64" s="30" t="str">
        <f>_xlfn.CONCAT(Table5[[#This Row],[OrderID]]," | ",Table5[[#This Row],[City]]," | ",Table5[[#This Row],[ItemName]])</f>
        <v>ORD-1062 | Biratnagar | Chicken Pizza</v>
      </c>
      <c r="U64" s="30" t="str">
        <f>UPPER(Table5[[#This Row],[City]])</f>
        <v>BIRATNAGAR</v>
      </c>
      <c r="V64" s="30" t="str">
        <f>LOWER(Table5[[#This Row],[PaymentMethod]])</f>
        <v>connectips</v>
      </c>
      <c r="W64" s="30" cm="1">
        <f t="array" ref="W64">_xlfn.XLOOKUP(TRIM(Table5[[#This Row],[ItemName]]), TRIM(Menu_Price_List_tbl[ItemName]),Menu_Price_List_tbl[UnitPrice_NPR])</f>
        <v>650</v>
      </c>
      <c r="X64" s="31">
        <f t="shared" si="2"/>
        <v>650</v>
      </c>
      <c r="Y64" s="30">
        <f>_xlfn.XLOOKUP(Table5[[#This Row],[City]],City_Delivery_Fee_tbl[City],City_Delivery_Fee_tbl[BaseDeliveryFee_NPR])</f>
        <v>90</v>
      </c>
      <c r="Z6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64" s="31">
        <f>Table5[[#This Row],[Order Amount]]+Table5[[#This Row],[Delivery Fee]]-Table5[[#This Row],[Discount Amount]]</f>
        <v>740</v>
      </c>
      <c r="AB64" s="30" t="str">
        <f>_xlfn.XLOOKUP(Table5[[#This Row],[RiderID]], Rider_Directory!$F$2:$F$26, Rider_Directory!$B$2:$B$26)</f>
        <v>Biratnagar</v>
      </c>
      <c r="AC64" s="30" t="str" cm="1">
        <f t="array" ref="AC64">_xlfn.IFS(Table5[[#This Row],[Final Amount]]&lt;500, "Small", Table5[[#This Row],[Final Amount]]&lt;=1000, "Medium", Table5[[#This Row],[Final Amount]]&gt;1000, "Large")</f>
        <v>Medium</v>
      </c>
      <c r="AD64" s="30" t="str">
        <f>_xlfn.LET(_xlpm.expiry,_xlfn.XLOOKUP(Table5[[#This Row],[PromoCode]],Promo_Codes!$A$2:$A$9,Promo_Codes!$F$2:$F$9,DATE(2099,1,1)),IF(Table5[[#This Row],[OrderDate]]&gt;_xlpm.expiry,"Expired Code Used","Valid"))</f>
        <v>Valid</v>
      </c>
    </row>
    <row r="65" spans="1:30" x14ac:dyDescent="0.3">
      <c r="A65" s="28" t="s">
        <v>543</v>
      </c>
      <c r="B65" s="27">
        <v>45921</v>
      </c>
      <c r="C65" s="28" t="s">
        <v>161</v>
      </c>
      <c r="D65" s="28" t="s">
        <v>1163</v>
      </c>
      <c r="E65" s="27">
        <v>45743</v>
      </c>
      <c r="F65" s="27" t="str">
        <f t="shared" si="0"/>
        <v>Returning</v>
      </c>
      <c r="G65" s="28" t="s">
        <v>177</v>
      </c>
      <c r="H65" s="28" t="s">
        <v>178</v>
      </c>
      <c r="I65" s="28" t="s">
        <v>179</v>
      </c>
      <c r="J65" s="28" t="s">
        <v>421</v>
      </c>
      <c r="K65" s="29">
        <v>2</v>
      </c>
      <c r="L65" s="28" t="s">
        <v>181</v>
      </c>
      <c r="M65" s="28" t="s">
        <v>278</v>
      </c>
      <c r="N65" s="28" t="s">
        <v>188</v>
      </c>
      <c r="O65" s="28" t="s">
        <v>130</v>
      </c>
      <c r="P65" s="28" t="str">
        <f t="shared" si="1"/>
        <v/>
      </c>
      <c r="Q65" s="29">
        <v>4</v>
      </c>
      <c r="R65" s="29">
        <v>31</v>
      </c>
      <c r="S65" s="28" t="s">
        <v>291</v>
      </c>
      <c r="T65" s="30" t="str">
        <f>_xlfn.CONCAT(Table5[[#This Row],[OrderID]]," | ",Table5[[#This Row],[City]]," | ",Table5[[#This Row],[ItemName]])</f>
        <v>ORD-1063 | Bhaktapur | Chicken Burger</v>
      </c>
      <c r="U65" s="30" t="str">
        <f>UPPER(Table5[[#This Row],[City]])</f>
        <v>BHAKTAPUR</v>
      </c>
      <c r="V65" s="30" t="str">
        <f>LOWER(Table5[[#This Row],[PaymentMethod]])</f>
        <v>connectips</v>
      </c>
      <c r="W65" s="30" cm="1">
        <f t="array" ref="W65">_xlfn.XLOOKUP(TRIM(Table5[[#This Row],[ItemName]]), TRIM(Menu_Price_List_tbl[ItemName]),Menu_Price_List_tbl[UnitPrice_NPR])</f>
        <v>280</v>
      </c>
      <c r="X65" s="31">
        <f t="shared" si="2"/>
        <v>560</v>
      </c>
      <c r="Y65" s="30">
        <f>_xlfn.XLOOKUP(Table5[[#This Row],[City]],City_Delivery_Fee_tbl[City],City_Delivery_Fee_tbl[BaseDeliveryFee_NPR])</f>
        <v>55</v>
      </c>
      <c r="Z6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56</v>
      </c>
      <c r="AA65" s="31">
        <f>Table5[[#This Row],[Order Amount]]+Table5[[#This Row],[Delivery Fee]]-Table5[[#This Row],[Discount Amount]]</f>
        <v>559</v>
      </c>
      <c r="AB65" s="30" t="str">
        <f>_xlfn.XLOOKUP(Table5[[#This Row],[RiderID]], Rider_Directory!$F$2:$F$26, Rider_Directory!$B$2:$B$26)</f>
        <v>Bhaktapur</v>
      </c>
      <c r="AC65" s="30" t="str" cm="1">
        <f t="array" ref="AC65">_xlfn.IFS(Table5[[#This Row],[Final Amount]]&lt;500, "Small", Table5[[#This Row],[Final Amount]]&lt;=1000, "Medium", Table5[[#This Row],[Final Amount]]&gt;1000, "Large")</f>
        <v>Medium</v>
      </c>
      <c r="AD65" s="30" t="str">
        <f>_xlfn.LET(_xlpm.expiry,_xlfn.XLOOKUP(Table5[[#This Row],[PromoCode]],Promo_Codes!$A$2:$A$9,Promo_Codes!$F$2:$F$9,DATE(2099,1,1)),IF(Table5[[#This Row],[OrderDate]]&gt;_xlpm.expiry,"Expired Code Used","Valid"))</f>
        <v>Valid</v>
      </c>
    </row>
    <row r="66" spans="1:30" x14ac:dyDescent="0.3">
      <c r="A66" s="28" t="s">
        <v>971</v>
      </c>
      <c r="B66" s="27">
        <v>45922</v>
      </c>
      <c r="C66" s="28" t="s">
        <v>972</v>
      </c>
      <c r="D66" s="28" t="s">
        <v>1204</v>
      </c>
      <c r="E66" s="27">
        <v>45921</v>
      </c>
      <c r="F66" s="27" t="str">
        <f t="shared" ref="F66:F129" si="3">IF(B66-E66&lt;=2,"New","Returning")</f>
        <v>New</v>
      </c>
      <c r="G66" s="28" t="s">
        <v>135</v>
      </c>
      <c r="H66" s="28" t="s">
        <v>199</v>
      </c>
      <c r="I66" s="28" t="s">
        <v>179</v>
      </c>
      <c r="J66" s="28" t="s">
        <v>453</v>
      </c>
      <c r="K66" s="29">
        <v>4</v>
      </c>
      <c r="L66" s="28" t="s">
        <v>139</v>
      </c>
      <c r="M66" s="28" t="s">
        <v>128</v>
      </c>
      <c r="N66" s="28" t="s">
        <v>188</v>
      </c>
      <c r="O66" s="28" t="s">
        <v>130</v>
      </c>
      <c r="P66" s="28" t="str">
        <f t="shared" ref="P66:P129" si="4">IF(O66=""," NEED REVIEW","")</f>
        <v/>
      </c>
      <c r="Q66" s="29">
        <v>5</v>
      </c>
      <c r="R66" s="29">
        <v>33</v>
      </c>
      <c r="S66" s="28"/>
      <c r="T66" s="30" t="str">
        <f>_xlfn.CONCAT(Table5[[#This Row],[OrderID]]," | ",Table5[[#This Row],[City]]," | ",Table5[[#This Row],[ItemName]])</f>
        <v>ORD-1064 | Kathmandu | Margherita Pizza</v>
      </c>
      <c r="U66" s="30" t="str">
        <f>UPPER(Table5[[#This Row],[City]])</f>
        <v>KATHMANDU</v>
      </c>
      <c r="V66" s="30" t="str">
        <f>LOWER(Table5[[#This Row],[PaymentMethod]])</f>
        <v>esewa</v>
      </c>
      <c r="W66" s="30" cm="1">
        <f t="array" ref="W66">_xlfn.XLOOKUP(TRIM(Table5[[#This Row],[ItemName]]), TRIM(Menu_Price_List_tbl[ItemName]),Menu_Price_List_tbl[UnitPrice_NPR])</f>
        <v>550</v>
      </c>
      <c r="X66" s="31">
        <f t="shared" ref="X66:X129" si="5">W66*K66</f>
        <v>2200</v>
      </c>
      <c r="Y66" s="30">
        <f>_xlfn.XLOOKUP(Table5[[#This Row],[City]],City_Delivery_Fee_tbl[City],City_Delivery_Fee_tbl[BaseDeliveryFee_NPR])</f>
        <v>50</v>
      </c>
      <c r="Z6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220</v>
      </c>
      <c r="AA66" s="31">
        <f>Table5[[#This Row],[Order Amount]]+Table5[[#This Row],[Delivery Fee]]-Table5[[#This Row],[Discount Amount]]</f>
        <v>2030</v>
      </c>
      <c r="AB66" s="30" t="str">
        <f>_xlfn.XLOOKUP(Table5[[#This Row],[RiderID]], Rider_Directory!$F$2:$F$26, Rider_Directory!$B$2:$B$26)</f>
        <v>Kathmandu</v>
      </c>
      <c r="AC66" s="30" t="str" cm="1">
        <f t="array" ref="AC66">_xlfn.IFS(Table5[[#This Row],[Final Amount]]&lt;500, "Small", Table5[[#This Row],[Final Amount]]&lt;=1000, "Medium", Table5[[#This Row],[Final Amount]]&gt;1000, "Large")</f>
        <v>Large</v>
      </c>
      <c r="AD66" s="30" t="str">
        <f>_xlfn.LET(_xlpm.expiry,_xlfn.XLOOKUP(Table5[[#This Row],[PromoCode]],Promo_Codes!$A$2:$A$9,Promo_Codes!$F$2:$F$9,DATE(2099,1,1)),IF(Table5[[#This Row],[OrderDate]]&gt;_xlpm.expiry,"Expired Code Used","Valid"))</f>
        <v>Valid</v>
      </c>
    </row>
    <row r="67" spans="1:30" x14ac:dyDescent="0.3">
      <c r="A67" s="28" t="s">
        <v>947</v>
      </c>
      <c r="B67" s="27">
        <v>45924</v>
      </c>
      <c r="C67" s="28" t="s">
        <v>608</v>
      </c>
      <c r="D67" s="28" t="s">
        <v>1214</v>
      </c>
      <c r="E67" s="27">
        <v>45889</v>
      </c>
      <c r="F67" s="27" t="str">
        <f t="shared" si="3"/>
        <v>Returning</v>
      </c>
      <c r="G67" s="28" t="s">
        <v>177</v>
      </c>
      <c r="H67" s="28" t="s">
        <v>163</v>
      </c>
      <c r="I67" s="28" t="s">
        <v>164</v>
      </c>
      <c r="J67" s="28" t="s">
        <v>948</v>
      </c>
      <c r="K67" s="29">
        <v>3</v>
      </c>
      <c r="L67" s="28" t="s">
        <v>713</v>
      </c>
      <c r="M67" s="28" t="s">
        <v>159</v>
      </c>
      <c r="N67" s="28" t="s">
        <v>188</v>
      </c>
      <c r="O67" s="28" t="s">
        <v>130</v>
      </c>
      <c r="P67" s="28" t="str">
        <f t="shared" si="4"/>
        <v/>
      </c>
      <c r="Q67" s="29">
        <v>4</v>
      </c>
      <c r="R67" s="29">
        <v>20</v>
      </c>
      <c r="S67" s="28"/>
      <c r="T67" s="30" t="str">
        <f>_xlfn.CONCAT(Table5[[#This Row],[OrderID]]," | ",Table5[[#This Row],[City]]," | ",Table5[[#This Row],[ItemName]])</f>
        <v xml:space="preserve">ORD-1065 | Bhaktapur | Black Coffee  </v>
      </c>
      <c r="U67" s="30" t="str">
        <f>UPPER(Table5[[#This Row],[City]])</f>
        <v>BHAKTAPUR</v>
      </c>
      <c r="V67" s="30" t="str">
        <f>LOWER(Table5[[#This Row],[PaymentMethod]])</f>
        <v>khalti</v>
      </c>
      <c r="W67" s="30" cm="1">
        <f t="array" ref="W67">_xlfn.XLOOKUP(TRIM(Table5[[#This Row],[ItemName]]), TRIM(Menu_Price_List_tbl[ItemName]),Menu_Price_List_tbl[UnitPrice_NPR])</f>
        <v>90</v>
      </c>
      <c r="X67" s="31">
        <f t="shared" si="5"/>
        <v>270</v>
      </c>
      <c r="Y67" s="30">
        <f>_xlfn.XLOOKUP(Table5[[#This Row],[City]],City_Delivery_Fee_tbl[City],City_Delivery_Fee_tbl[BaseDeliveryFee_NPR])</f>
        <v>55</v>
      </c>
      <c r="Z6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27</v>
      </c>
      <c r="AA67" s="31">
        <f>Table5[[#This Row],[Order Amount]]+Table5[[#This Row],[Delivery Fee]]-Table5[[#This Row],[Discount Amount]]</f>
        <v>298</v>
      </c>
      <c r="AB67" s="30" t="str">
        <f>_xlfn.XLOOKUP(Table5[[#This Row],[RiderID]], Rider_Directory!$F$2:$F$26, Rider_Directory!$B$2:$B$26)</f>
        <v>Bhaktapur</v>
      </c>
      <c r="AC67" s="30" t="str" cm="1">
        <f t="array" ref="AC67">_xlfn.IFS(Table5[[#This Row],[Final Amount]]&lt;500, "Small", Table5[[#This Row],[Final Amount]]&lt;=1000, "Medium", Table5[[#This Row],[Final Amount]]&gt;1000, "Large")</f>
        <v>Small</v>
      </c>
      <c r="AD67" s="30" t="str">
        <f>_xlfn.LET(_xlpm.expiry,_xlfn.XLOOKUP(Table5[[#This Row],[PromoCode]],Promo_Codes!$A$2:$A$9,Promo_Codes!$F$2:$F$9,DATE(2099,1,1)),IF(Table5[[#This Row],[OrderDate]]&gt;_xlpm.expiry,"Expired Code Used","Valid"))</f>
        <v>Valid</v>
      </c>
    </row>
    <row r="68" spans="1:30" x14ac:dyDescent="0.3">
      <c r="A68" s="28" t="s">
        <v>876</v>
      </c>
      <c r="B68" s="27">
        <v>45926</v>
      </c>
      <c r="C68" s="28" t="s">
        <v>877</v>
      </c>
      <c r="D68" s="28" t="s">
        <v>1234</v>
      </c>
      <c r="E68" s="27">
        <v>45926</v>
      </c>
      <c r="F68" s="27" t="str">
        <f t="shared" si="3"/>
        <v>New</v>
      </c>
      <c r="G68" s="28" t="s">
        <v>206</v>
      </c>
      <c r="H68" s="28" t="s">
        <v>171</v>
      </c>
      <c r="I68" s="28" t="s">
        <v>147</v>
      </c>
      <c r="J68" s="28" t="s">
        <v>878</v>
      </c>
      <c r="K68" s="29">
        <v>1</v>
      </c>
      <c r="L68" s="28" t="s">
        <v>208</v>
      </c>
      <c r="M68" s="28" t="s">
        <v>278</v>
      </c>
      <c r="N68" s="28" t="s">
        <v>188</v>
      </c>
      <c r="O68" s="28" t="s">
        <v>130</v>
      </c>
      <c r="P68" s="28" t="str">
        <f t="shared" si="4"/>
        <v/>
      </c>
      <c r="Q68" s="29">
        <v>5</v>
      </c>
      <c r="R68" s="29">
        <v>15</v>
      </c>
      <c r="S68" s="28" t="s">
        <v>141</v>
      </c>
      <c r="T68" s="30" t="str">
        <f>_xlfn.CONCAT(Table5[[#This Row],[OrderID]]," | ",Table5[[#This Row],[City]]," | ",Table5[[#This Row],[ItemName]])</f>
        <v>ORD-1066 | Pokhara | CHEESE CAKE SLICE</v>
      </c>
      <c r="U68" s="30" t="str">
        <f>UPPER(Table5[[#This Row],[City]])</f>
        <v>POKHARA</v>
      </c>
      <c r="V68" s="30" t="str">
        <f>LOWER(Table5[[#This Row],[PaymentMethod]])</f>
        <v>connectips</v>
      </c>
      <c r="W68" s="30" cm="1">
        <f t="array" ref="W68">_xlfn.XLOOKUP(TRIM(Table5[[#This Row],[ItemName]]), TRIM(Menu_Price_List_tbl[ItemName]),Menu_Price_List_tbl[UnitPrice_NPR])</f>
        <v>250</v>
      </c>
      <c r="X68" s="31">
        <f t="shared" si="5"/>
        <v>250</v>
      </c>
      <c r="Y68" s="30">
        <f>_xlfn.XLOOKUP(Table5[[#This Row],[City]],City_Delivery_Fee_tbl[City],City_Delivery_Fee_tbl[BaseDeliveryFee_NPR])</f>
        <v>70</v>
      </c>
      <c r="Z6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25</v>
      </c>
      <c r="AA68" s="31">
        <f>Table5[[#This Row],[Order Amount]]+Table5[[#This Row],[Delivery Fee]]-Table5[[#This Row],[Discount Amount]]</f>
        <v>295</v>
      </c>
      <c r="AB68" s="30" t="str">
        <f>_xlfn.XLOOKUP(Table5[[#This Row],[RiderID]], Rider_Directory!$F$2:$F$26, Rider_Directory!$B$2:$B$26)</f>
        <v>Pokhara</v>
      </c>
      <c r="AC68" s="30" t="str" cm="1">
        <f t="array" ref="AC68">_xlfn.IFS(Table5[[#This Row],[Final Amount]]&lt;500, "Small", Table5[[#This Row],[Final Amount]]&lt;=1000, "Medium", Table5[[#This Row],[Final Amount]]&gt;1000, "Large")</f>
        <v>Small</v>
      </c>
      <c r="AD68" s="30" t="str">
        <f>_xlfn.LET(_xlpm.expiry,_xlfn.XLOOKUP(Table5[[#This Row],[PromoCode]],Promo_Codes!$A$2:$A$9,Promo_Codes!$F$2:$F$9,DATE(2099,1,1)),IF(Table5[[#This Row],[OrderDate]]&gt;_xlpm.expiry,"Expired Code Used","Valid"))</f>
        <v>Valid</v>
      </c>
    </row>
    <row r="69" spans="1:30" x14ac:dyDescent="0.3">
      <c r="A69" s="28" t="s">
        <v>524</v>
      </c>
      <c r="B69" s="27">
        <v>45927</v>
      </c>
      <c r="C69" s="28" t="s">
        <v>1132</v>
      </c>
      <c r="D69" s="28" t="s">
        <v>1220</v>
      </c>
      <c r="E69" s="27">
        <v>45926</v>
      </c>
      <c r="F69" s="27" t="str">
        <f t="shared" si="3"/>
        <v>New</v>
      </c>
      <c r="G69" s="28" t="s">
        <v>135</v>
      </c>
      <c r="H69" s="28" t="s">
        <v>199</v>
      </c>
      <c r="I69" s="28" t="s">
        <v>179</v>
      </c>
      <c r="J69" s="28" t="s">
        <v>525</v>
      </c>
      <c r="K69" s="29">
        <v>1</v>
      </c>
      <c r="L69" s="28" t="s">
        <v>218</v>
      </c>
      <c r="M69" s="28" t="s">
        <v>128</v>
      </c>
      <c r="N69" s="28" t="s">
        <v>255</v>
      </c>
      <c r="O69" s="28" t="s">
        <v>279</v>
      </c>
      <c r="P69" s="28" t="str">
        <f t="shared" si="4"/>
        <v/>
      </c>
      <c r="Q69" s="28"/>
      <c r="R69" s="29">
        <v>28</v>
      </c>
      <c r="S69" s="28"/>
      <c r="T69" s="30" t="str">
        <f>_xlfn.CONCAT(Table5[[#This Row],[OrderID]]," | ",Table5[[#This Row],[City]]," | ",Table5[[#This Row],[ItemName]])</f>
        <v>ORD-1067 | Kathmandu | VEG FRIED RICE</v>
      </c>
      <c r="U69" s="30" t="str">
        <f>UPPER(Table5[[#This Row],[City]])</f>
        <v>KATHMANDU</v>
      </c>
      <c r="V69" s="30" t="str">
        <f>LOWER(Table5[[#This Row],[PaymentMethod]])</f>
        <v>esewa</v>
      </c>
      <c r="W69" s="30" cm="1">
        <f t="array" ref="W69">_xlfn.XLOOKUP(TRIM(Table5[[#This Row],[ItemName]]), TRIM(Menu_Price_List_tbl[ItemName]),Menu_Price_List_tbl[UnitPrice_NPR])</f>
        <v>220</v>
      </c>
      <c r="X69" s="31">
        <f t="shared" si="5"/>
        <v>220</v>
      </c>
      <c r="Y69" s="30">
        <f>_xlfn.XLOOKUP(Table5[[#This Row],[City]],City_Delivery_Fee_tbl[City],City_Delivery_Fee_tbl[BaseDeliveryFee_NPR])</f>
        <v>50</v>
      </c>
      <c r="Z6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22</v>
      </c>
      <c r="AA69" s="31">
        <f>Table5[[#This Row],[Order Amount]]+Table5[[#This Row],[Delivery Fee]]-Table5[[#This Row],[Discount Amount]]</f>
        <v>248</v>
      </c>
      <c r="AB69" s="30" t="str">
        <f>_xlfn.XLOOKUP(Table5[[#This Row],[RiderID]], Rider_Directory!$F$2:$F$26, Rider_Directory!$B$2:$B$26)</f>
        <v>Kathmandu</v>
      </c>
      <c r="AC69" s="30" t="str" cm="1">
        <f t="array" ref="AC69">_xlfn.IFS(Table5[[#This Row],[Final Amount]]&lt;500, "Small", Table5[[#This Row],[Final Amount]]&lt;=1000, "Medium", Table5[[#This Row],[Final Amount]]&gt;1000, "Large")</f>
        <v>Small</v>
      </c>
      <c r="AD69" s="30" t="str">
        <f>_xlfn.LET(_xlpm.expiry,_xlfn.XLOOKUP(Table5[[#This Row],[PromoCode]],Promo_Codes!$A$2:$A$9,Promo_Codes!$F$2:$F$9,DATE(2099,1,1)),IF(Table5[[#This Row],[OrderDate]]&gt;_xlpm.expiry,"Expired Code Used","Valid"))</f>
        <v>Valid</v>
      </c>
    </row>
    <row r="70" spans="1:30" x14ac:dyDescent="0.3">
      <c r="A70" s="28" t="s">
        <v>881</v>
      </c>
      <c r="B70" s="27">
        <v>45927</v>
      </c>
      <c r="C70" s="28" t="s">
        <v>1134</v>
      </c>
      <c r="D70" s="28" t="s">
        <v>1230</v>
      </c>
      <c r="E70" s="27">
        <v>45901</v>
      </c>
      <c r="F70" s="27" t="str">
        <f t="shared" si="3"/>
        <v>Returning</v>
      </c>
      <c r="G70" s="28" t="s">
        <v>135</v>
      </c>
      <c r="H70" s="28" t="s">
        <v>124</v>
      </c>
      <c r="I70" s="28" t="s">
        <v>125</v>
      </c>
      <c r="J70" s="28" t="s">
        <v>126</v>
      </c>
      <c r="K70" s="29">
        <v>1</v>
      </c>
      <c r="L70" s="28" t="s">
        <v>265</v>
      </c>
      <c r="M70" s="28" t="s">
        <v>159</v>
      </c>
      <c r="N70" s="28" t="s">
        <v>188</v>
      </c>
      <c r="O70" s="28" t="s">
        <v>130</v>
      </c>
      <c r="P70" s="28" t="str">
        <f t="shared" si="4"/>
        <v/>
      </c>
      <c r="Q70" s="28"/>
      <c r="R70" s="29">
        <v>36</v>
      </c>
      <c r="S70" s="28" t="s">
        <v>284</v>
      </c>
      <c r="T70" s="30" t="str">
        <f>_xlfn.CONCAT(Table5[[#This Row],[OrderID]]," | ",Table5[[#This Row],[City]]," | ",Table5[[#This Row],[ItemName]])</f>
        <v>ORD-1068 | Kathmandu | Bara</v>
      </c>
      <c r="U70" s="30" t="str">
        <f>UPPER(Table5[[#This Row],[City]])</f>
        <v>KATHMANDU</v>
      </c>
      <c r="V70" s="30" t="str">
        <f>LOWER(Table5[[#This Row],[PaymentMethod]])</f>
        <v>khalti</v>
      </c>
      <c r="W70" s="30" cm="1">
        <f t="array" ref="W70">_xlfn.XLOOKUP(TRIM(Table5[[#This Row],[ItemName]]), TRIM(Menu_Price_List_tbl[ItemName]),Menu_Price_List_tbl[UnitPrice_NPR])</f>
        <v>160</v>
      </c>
      <c r="X70" s="31">
        <f t="shared" si="5"/>
        <v>160</v>
      </c>
      <c r="Y70" s="30">
        <f>_xlfn.XLOOKUP(Table5[[#This Row],[City]],City_Delivery_Fee_tbl[City],City_Delivery_Fee_tbl[BaseDeliveryFee_NPR])</f>
        <v>50</v>
      </c>
      <c r="Z7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16</v>
      </c>
      <c r="AA70" s="31">
        <f>Table5[[#This Row],[Order Amount]]+Table5[[#This Row],[Delivery Fee]]-Table5[[#This Row],[Discount Amount]]</f>
        <v>194</v>
      </c>
      <c r="AB70" s="30" t="str">
        <f>_xlfn.XLOOKUP(Table5[[#This Row],[RiderID]], Rider_Directory!$F$2:$F$26, Rider_Directory!$B$2:$B$26)</f>
        <v>Kathmandu</v>
      </c>
      <c r="AC70" s="30" t="str" cm="1">
        <f t="array" ref="AC70">_xlfn.IFS(Table5[[#This Row],[Final Amount]]&lt;500, "Small", Table5[[#This Row],[Final Amount]]&lt;=1000, "Medium", Table5[[#This Row],[Final Amount]]&gt;1000, "Large")</f>
        <v>Small</v>
      </c>
      <c r="AD70" s="30" t="str">
        <f>_xlfn.LET(_xlpm.expiry,_xlfn.XLOOKUP(Table5[[#This Row],[PromoCode]],Promo_Codes!$A$2:$A$9,Promo_Codes!$F$2:$F$9,DATE(2099,1,1)),IF(Table5[[#This Row],[OrderDate]]&gt;_xlpm.expiry,"Expired Code Used","Valid"))</f>
        <v>Valid</v>
      </c>
    </row>
    <row r="71" spans="1:30" x14ac:dyDescent="0.3">
      <c r="A71" s="28" t="s">
        <v>807</v>
      </c>
      <c r="B71" s="27">
        <v>45928</v>
      </c>
      <c r="C71" s="28" t="s">
        <v>427</v>
      </c>
      <c r="D71" s="28" t="s">
        <v>1208</v>
      </c>
      <c r="E71" s="27">
        <v>45928</v>
      </c>
      <c r="F71" s="27" t="str">
        <f t="shared" si="3"/>
        <v>New</v>
      </c>
      <c r="G71" s="28" t="s">
        <v>135</v>
      </c>
      <c r="H71" s="28" t="s">
        <v>163</v>
      </c>
      <c r="I71" s="28" t="s">
        <v>164</v>
      </c>
      <c r="J71" s="28" t="s">
        <v>372</v>
      </c>
      <c r="K71" s="29">
        <v>3</v>
      </c>
      <c r="L71" s="28" t="s">
        <v>187</v>
      </c>
      <c r="M71" s="28" t="s">
        <v>159</v>
      </c>
      <c r="N71" s="28" t="s">
        <v>188</v>
      </c>
      <c r="O71" s="28" t="s">
        <v>130</v>
      </c>
      <c r="P71" s="28" t="str">
        <f t="shared" si="4"/>
        <v/>
      </c>
      <c r="Q71" s="29">
        <v>4</v>
      </c>
      <c r="R71" s="29">
        <v>29</v>
      </c>
      <c r="S71" s="28"/>
      <c r="T71" s="30" t="str">
        <f>_xlfn.CONCAT(Table5[[#This Row],[OrderID]]," | ",Table5[[#This Row],[City]]," | ",Table5[[#This Row],[ItemName]])</f>
        <v>ORD-1069 | Kathmandu | Black Coffee</v>
      </c>
      <c r="U71" s="30" t="str">
        <f>UPPER(Table5[[#This Row],[City]])</f>
        <v>KATHMANDU</v>
      </c>
      <c r="V71" s="30" t="str">
        <f>LOWER(Table5[[#This Row],[PaymentMethod]])</f>
        <v>khalti</v>
      </c>
      <c r="W71" s="30" cm="1">
        <f t="array" ref="W71">_xlfn.XLOOKUP(TRIM(Table5[[#This Row],[ItemName]]), TRIM(Menu_Price_List_tbl[ItemName]),Menu_Price_List_tbl[UnitPrice_NPR])</f>
        <v>90</v>
      </c>
      <c r="X71" s="31">
        <f t="shared" si="5"/>
        <v>270</v>
      </c>
      <c r="Y71" s="30">
        <f>_xlfn.XLOOKUP(Table5[[#This Row],[City]],City_Delivery_Fee_tbl[City],City_Delivery_Fee_tbl[BaseDeliveryFee_NPR])</f>
        <v>50</v>
      </c>
      <c r="Z7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27</v>
      </c>
      <c r="AA71" s="31">
        <f>Table5[[#This Row],[Order Amount]]+Table5[[#This Row],[Delivery Fee]]-Table5[[#This Row],[Discount Amount]]</f>
        <v>293</v>
      </c>
      <c r="AB71" s="30" t="str">
        <f>_xlfn.XLOOKUP(Table5[[#This Row],[RiderID]], Rider_Directory!$F$2:$F$26, Rider_Directory!$B$2:$B$26)</f>
        <v>Kathmandu</v>
      </c>
      <c r="AC71" s="30" t="str" cm="1">
        <f t="array" ref="AC71">_xlfn.IFS(Table5[[#This Row],[Final Amount]]&lt;500, "Small", Table5[[#This Row],[Final Amount]]&lt;=1000, "Medium", Table5[[#This Row],[Final Amount]]&gt;1000, "Large")</f>
        <v>Small</v>
      </c>
      <c r="AD71" s="30" t="str">
        <f>_xlfn.LET(_xlpm.expiry,_xlfn.XLOOKUP(Table5[[#This Row],[PromoCode]],Promo_Codes!$A$2:$A$9,Promo_Codes!$F$2:$F$9,DATE(2099,1,1)),IF(Table5[[#This Row],[OrderDate]]&gt;_xlpm.expiry,"Expired Code Used","Valid"))</f>
        <v>Valid</v>
      </c>
    </row>
    <row r="72" spans="1:30" x14ac:dyDescent="0.3">
      <c r="A72" s="28" t="s">
        <v>687</v>
      </c>
      <c r="B72" s="27">
        <v>45928</v>
      </c>
      <c r="C72" s="28" t="s">
        <v>988</v>
      </c>
      <c r="D72" s="28" t="s">
        <v>1250</v>
      </c>
      <c r="E72" s="27">
        <v>45927</v>
      </c>
      <c r="F72" s="27" t="str">
        <f t="shared" si="3"/>
        <v>New</v>
      </c>
      <c r="G72" s="28" t="s">
        <v>135</v>
      </c>
      <c r="H72" s="28" t="s">
        <v>216</v>
      </c>
      <c r="I72" s="28" t="s">
        <v>125</v>
      </c>
      <c r="J72" s="28" t="s">
        <v>571</v>
      </c>
      <c r="K72" s="29">
        <v>1</v>
      </c>
      <c r="L72" s="28" t="s">
        <v>277</v>
      </c>
      <c r="M72" s="28" t="s">
        <v>140</v>
      </c>
      <c r="N72" s="28"/>
      <c r="O72" s="28" t="s">
        <v>130</v>
      </c>
      <c r="P72" s="28" t="str">
        <f t="shared" si="4"/>
        <v/>
      </c>
      <c r="Q72" s="29">
        <v>4</v>
      </c>
      <c r="R72" s="29">
        <v>45</v>
      </c>
      <c r="S72" s="28" t="s">
        <v>202</v>
      </c>
      <c r="T72" s="30" t="str">
        <f>_xlfn.CONCAT(Table5[[#This Row],[OrderID]]," | ",Table5[[#This Row],[City]]," | ",Table5[[#This Row],[ItemName]])</f>
        <v>ORD-1070 | Kathmandu | Choila (Buff)</v>
      </c>
      <c r="U72" s="30" t="str">
        <f>UPPER(Table5[[#This Row],[City]])</f>
        <v>KATHMANDU</v>
      </c>
      <c r="V72" s="30" t="str">
        <f>LOWER(Table5[[#This Row],[PaymentMethod]])</f>
        <v>cash on delivery</v>
      </c>
      <c r="W72" s="30" cm="1">
        <f t="array" ref="W72">_xlfn.XLOOKUP(TRIM(Table5[[#This Row],[ItemName]]), TRIM(Menu_Price_List_tbl[ItemName]),Menu_Price_List_tbl[UnitPrice_NPR])</f>
        <v>320</v>
      </c>
      <c r="X72" s="31">
        <f t="shared" si="5"/>
        <v>320</v>
      </c>
      <c r="Y72" s="30">
        <f>_xlfn.XLOOKUP(Table5[[#This Row],[City]],City_Delivery_Fee_tbl[City],City_Delivery_Fee_tbl[BaseDeliveryFee_NPR])</f>
        <v>50</v>
      </c>
      <c r="Z7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72" s="31">
        <f>Table5[[#This Row],[Order Amount]]+Table5[[#This Row],[Delivery Fee]]-Table5[[#This Row],[Discount Amount]]</f>
        <v>370</v>
      </c>
      <c r="AB72" s="30" t="str">
        <f>_xlfn.XLOOKUP(Table5[[#This Row],[RiderID]], Rider_Directory!$F$2:$F$26, Rider_Directory!$B$2:$B$26)</f>
        <v>Kathmandu</v>
      </c>
      <c r="AC72" s="30" t="str" cm="1">
        <f t="array" ref="AC72">_xlfn.IFS(Table5[[#This Row],[Final Amount]]&lt;500, "Small", Table5[[#This Row],[Final Amount]]&lt;=1000, "Medium", Table5[[#This Row],[Final Amount]]&gt;1000, "Large")</f>
        <v>Small</v>
      </c>
      <c r="AD72" s="30" t="str">
        <f>_xlfn.LET(_xlpm.expiry,_xlfn.XLOOKUP(Table5[[#This Row],[PromoCode]],Promo_Codes!$A$2:$A$9,Promo_Codes!$F$2:$F$9,DATE(2099,1,1)),IF(Table5[[#This Row],[OrderDate]]&gt;_xlpm.expiry,"Expired Code Used","Valid"))</f>
        <v>Valid</v>
      </c>
    </row>
    <row r="73" spans="1:30" x14ac:dyDescent="0.3">
      <c r="A73" s="28" t="s">
        <v>281</v>
      </c>
      <c r="B73" s="27">
        <v>45928</v>
      </c>
      <c r="C73" s="28" t="s">
        <v>282</v>
      </c>
      <c r="D73" s="28" t="s">
        <v>1183</v>
      </c>
      <c r="E73" s="27">
        <v>45916</v>
      </c>
      <c r="F73" s="27" t="str">
        <f t="shared" si="3"/>
        <v>Returning</v>
      </c>
      <c r="G73" s="28" t="s">
        <v>177</v>
      </c>
      <c r="H73" s="28" t="s">
        <v>216</v>
      </c>
      <c r="I73" s="28" t="s">
        <v>125</v>
      </c>
      <c r="J73" s="28" t="s">
        <v>126</v>
      </c>
      <c r="K73" s="29">
        <v>2</v>
      </c>
      <c r="L73" s="28" t="s">
        <v>181</v>
      </c>
      <c r="M73" s="28" t="s">
        <v>159</v>
      </c>
      <c r="N73" s="28"/>
      <c r="O73" s="28" t="s">
        <v>279</v>
      </c>
      <c r="P73" s="28" t="str">
        <f t="shared" si="4"/>
        <v/>
      </c>
      <c r="Q73" s="28"/>
      <c r="R73" s="29">
        <v>40</v>
      </c>
      <c r="S73" s="28" t="s">
        <v>284</v>
      </c>
      <c r="T73" s="30" t="str">
        <f>_xlfn.CONCAT(Table5[[#This Row],[OrderID]]," | ",Table5[[#This Row],[City]]," | ",Table5[[#This Row],[ItemName]])</f>
        <v>ORD-1071 | Bhaktapur | Bara</v>
      </c>
      <c r="U73" s="30" t="str">
        <f>UPPER(Table5[[#This Row],[City]])</f>
        <v>BHAKTAPUR</v>
      </c>
      <c r="V73" s="30" t="str">
        <f>LOWER(Table5[[#This Row],[PaymentMethod]])</f>
        <v>khalti</v>
      </c>
      <c r="W73" s="30" cm="1">
        <f t="array" ref="W73">_xlfn.XLOOKUP(TRIM(Table5[[#This Row],[ItemName]]), TRIM(Menu_Price_List_tbl[ItemName]),Menu_Price_List_tbl[UnitPrice_NPR])</f>
        <v>160</v>
      </c>
      <c r="X73" s="31">
        <f t="shared" si="5"/>
        <v>320</v>
      </c>
      <c r="Y73" s="30">
        <f>_xlfn.XLOOKUP(Table5[[#This Row],[City]],City_Delivery_Fee_tbl[City],City_Delivery_Fee_tbl[BaseDeliveryFee_NPR])</f>
        <v>55</v>
      </c>
      <c r="Z7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73" s="31">
        <f>Table5[[#This Row],[Order Amount]]+Table5[[#This Row],[Delivery Fee]]-Table5[[#This Row],[Discount Amount]]</f>
        <v>375</v>
      </c>
      <c r="AB73" s="30" t="str">
        <f>_xlfn.XLOOKUP(Table5[[#This Row],[RiderID]], Rider_Directory!$F$2:$F$26, Rider_Directory!$B$2:$B$26)</f>
        <v>Bhaktapur</v>
      </c>
      <c r="AC73" s="30" t="str" cm="1">
        <f t="array" ref="AC73">_xlfn.IFS(Table5[[#This Row],[Final Amount]]&lt;500, "Small", Table5[[#This Row],[Final Amount]]&lt;=1000, "Medium", Table5[[#This Row],[Final Amount]]&gt;1000, "Large")</f>
        <v>Small</v>
      </c>
      <c r="AD73" s="30" t="str">
        <f>_xlfn.LET(_xlpm.expiry,_xlfn.XLOOKUP(Table5[[#This Row],[PromoCode]],Promo_Codes!$A$2:$A$9,Promo_Codes!$F$2:$F$9,DATE(2099,1,1)),IF(Table5[[#This Row],[OrderDate]]&gt;_xlpm.expiry,"Expired Code Used","Valid"))</f>
        <v>Valid</v>
      </c>
    </row>
    <row r="74" spans="1:30" x14ac:dyDescent="0.3">
      <c r="A74" s="28" t="s">
        <v>965</v>
      </c>
      <c r="B74" s="27">
        <v>45962</v>
      </c>
      <c r="C74" s="28" t="s">
        <v>966</v>
      </c>
      <c r="D74" s="28" t="s">
        <v>1284</v>
      </c>
      <c r="E74" s="27">
        <v>45928</v>
      </c>
      <c r="F74" s="27" t="str">
        <f t="shared" si="3"/>
        <v>Returning</v>
      </c>
      <c r="G74" s="28" t="s">
        <v>170</v>
      </c>
      <c r="H74" s="28" t="s">
        <v>216</v>
      </c>
      <c r="I74" s="28" t="s">
        <v>125</v>
      </c>
      <c r="J74" s="28" t="s">
        <v>126</v>
      </c>
      <c r="K74" s="29">
        <v>1</v>
      </c>
      <c r="L74" s="28" t="s">
        <v>173</v>
      </c>
      <c r="M74" s="28" t="s">
        <v>159</v>
      </c>
      <c r="N74" s="28" t="s">
        <v>188</v>
      </c>
      <c r="O74" s="28" t="s">
        <v>130</v>
      </c>
      <c r="P74" s="28" t="str">
        <f t="shared" si="4"/>
        <v/>
      </c>
      <c r="Q74" s="29">
        <v>4</v>
      </c>
      <c r="R74" s="29">
        <v>44</v>
      </c>
      <c r="S74" s="28" t="s">
        <v>141</v>
      </c>
      <c r="T74" s="30" t="str">
        <f>_xlfn.CONCAT(Table5[[#This Row],[OrderID]]," | ",Table5[[#This Row],[City]]," | ",Table5[[#This Row],[ItemName]])</f>
        <v>ORD-1072 | Butwal | Bara</v>
      </c>
      <c r="U74" s="30" t="str">
        <f>UPPER(Table5[[#This Row],[City]])</f>
        <v>BUTWAL</v>
      </c>
      <c r="V74" s="30" t="str">
        <f>LOWER(Table5[[#This Row],[PaymentMethod]])</f>
        <v>khalti</v>
      </c>
      <c r="W74" s="30" cm="1">
        <f t="array" ref="W74">_xlfn.XLOOKUP(TRIM(Table5[[#This Row],[ItemName]]), TRIM(Menu_Price_List_tbl[ItemName]),Menu_Price_List_tbl[UnitPrice_NPR])</f>
        <v>160</v>
      </c>
      <c r="X74" s="31">
        <f t="shared" si="5"/>
        <v>160</v>
      </c>
      <c r="Y74" s="30">
        <f>_xlfn.XLOOKUP(Table5[[#This Row],[City]],City_Delivery_Fee_tbl[City],City_Delivery_Fee_tbl[BaseDeliveryFee_NPR])</f>
        <v>85</v>
      </c>
      <c r="Z7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16</v>
      </c>
      <c r="AA74" s="31">
        <f>Table5[[#This Row],[Order Amount]]+Table5[[#This Row],[Delivery Fee]]-Table5[[#This Row],[Discount Amount]]</f>
        <v>229</v>
      </c>
      <c r="AB74" s="30" t="str">
        <f>_xlfn.XLOOKUP(Table5[[#This Row],[RiderID]], Rider_Directory!$F$2:$F$26, Rider_Directory!$B$2:$B$26)</f>
        <v>Butwal</v>
      </c>
      <c r="AC74" s="30" t="str" cm="1">
        <f t="array" ref="AC74">_xlfn.IFS(Table5[[#This Row],[Final Amount]]&lt;500, "Small", Table5[[#This Row],[Final Amount]]&lt;=1000, "Medium", Table5[[#This Row],[Final Amount]]&gt;1000, "Large")</f>
        <v>Small</v>
      </c>
      <c r="AD74" s="30" t="str">
        <f>_xlfn.LET(_xlpm.expiry,_xlfn.XLOOKUP(Table5[[#This Row],[PromoCode]],Promo_Codes!$A$2:$A$9,Promo_Codes!$F$2:$F$9,DATE(2099,1,1)),IF(Table5[[#This Row],[OrderDate]]&gt;_xlpm.expiry,"Expired Code Used","Valid"))</f>
        <v>Expired Code Used</v>
      </c>
    </row>
    <row r="75" spans="1:30" x14ac:dyDescent="0.3">
      <c r="A75" s="28" t="s">
        <v>340</v>
      </c>
      <c r="B75" s="27">
        <v>45930</v>
      </c>
      <c r="C75" s="28" t="s">
        <v>1123</v>
      </c>
      <c r="D75" s="28" t="s">
        <v>1192</v>
      </c>
      <c r="E75" s="27">
        <v>45930</v>
      </c>
      <c r="F75" s="27" t="str">
        <f t="shared" si="3"/>
        <v>New</v>
      </c>
      <c r="G75" s="28" t="s">
        <v>198</v>
      </c>
      <c r="H75" s="28" t="s">
        <v>199</v>
      </c>
      <c r="I75" s="28" t="s">
        <v>179</v>
      </c>
      <c r="J75" s="28" t="s">
        <v>297</v>
      </c>
      <c r="K75" s="29">
        <v>1</v>
      </c>
      <c r="L75" s="28" t="s">
        <v>213</v>
      </c>
      <c r="M75" s="28" t="s">
        <v>128</v>
      </c>
      <c r="N75" s="28" t="s">
        <v>188</v>
      </c>
      <c r="O75" s="28" t="s">
        <v>130</v>
      </c>
      <c r="P75" s="28" t="str">
        <f t="shared" si="4"/>
        <v/>
      </c>
      <c r="Q75" s="29">
        <v>5</v>
      </c>
      <c r="R75" s="29">
        <v>30</v>
      </c>
      <c r="S75" s="28"/>
      <c r="T75" s="30" t="str">
        <f>_xlfn.CONCAT(Table5[[#This Row],[OrderID]]," | ",Table5[[#This Row],[City]]," | ",Table5[[#This Row],[ItemName]])</f>
        <v>ORD-1073 | Lalitpur | Chicken Chowmein</v>
      </c>
      <c r="U75" s="30" t="str">
        <f>UPPER(Table5[[#This Row],[City]])</f>
        <v>LALITPUR</v>
      </c>
      <c r="V75" s="30" t="str">
        <f>LOWER(Table5[[#This Row],[PaymentMethod]])</f>
        <v>esewa</v>
      </c>
      <c r="W75" s="30" cm="1">
        <f t="array" ref="W75">_xlfn.XLOOKUP(TRIM(Table5[[#This Row],[ItemName]]), TRIM(Menu_Price_List_tbl[ItemName]),Menu_Price_List_tbl[UnitPrice_NPR])</f>
        <v>250</v>
      </c>
      <c r="X75" s="31">
        <f t="shared" si="5"/>
        <v>250</v>
      </c>
      <c r="Y75" s="30">
        <f>_xlfn.XLOOKUP(Table5[[#This Row],[City]],City_Delivery_Fee_tbl[City],City_Delivery_Fee_tbl[BaseDeliveryFee_NPR])</f>
        <v>50</v>
      </c>
      <c r="Z7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25</v>
      </c>
      <c r="AA75" s="31">
        <f>Table5[[#This Row],[Order Amount]]+Table5[[#This Row],[Delivery Fee]]-Table5[[#This Row],[Discount Amount]]</f>
        <v>275</v>
      </c>
      <c r="AB75" s="30" t="str">
        <f>_xlfn.XLOOKUP(Table5[[#This Row],[RiderID]], Rider_Directory!$F$2:$F$26, Rider_Directory!$B$2:$B$26)</f>
        <v>Lalitpur</v>
      </c>
      <c r="AC75" s="30" t="str" cm="1">
        <f t="array" ref="AC75">_xlfn.IFS(Table5[[#This Row],[Final Amount]]&lt;500, "Small", Table5[[#This Row],[Final Amount]]&lt;=1000, "Medium", Table5[[#This Row],[Final Amount]]&gt;1000, "Large")</f>
        <v>Small</v>
      </c>
      <c r="AD75" s="30" t="str">
        <f>_xlfn.LET(_xlpm.expiry,_xlfn.XLOOKUP(Table5[[#This Row],[PromoCode]],Promo_Codes!$A$2:$A$9,Promo_Codes!$F$2:$F$9,DATE(2099,1,1)),IF(Table5[[#This Row],[OrderDate]]&gt;_xlpm.expiry,"Expired Code Used","Valid"))</f>
        <v>Valid</v>
      </c>
    </row>
    <row r="76" spans="1:30" x14ac:dyDescent="0.3">
      <c r="A76" s="28" t="s">
        <v>809</v>
      </c>
      <c r="B76" s="27">
        <v>45931</v>
      </c>
      <c r="C76" s="28" t="s">
        <v>355</v>
      </c>
      <c r="D76" s="28" t="s">
        <v>1194</v>
      </c>
      <c r="E76" s="27">
        <v>45911</v>
      </c>
      <c r="F76" s="27" t="str">
        <f t="shared" si="3"/>
        <v>Returning</v>
      </c>
      <c r="G76" s="28" t="s">
        <v>123</v>
      </c>
      <c r="H76" s="28" t="s">
        <v>339</v>
      </c>
      <c r="I76" s="28" t="s">
        <v>233</v>
      </c>
      <c r="J76" s="28" t="s">
        <v>811</v>
      </c>
      <c r="K76" s="29">
        <v>2</v>
      </c>
      <c r="L76" s="28" t="s">
        <v>127</v>
      </c>
      <c r="M76" s="28" t="s">
        <v>140</v>
      </c>
      <c r="N76" s="28" t="s">
        <v>129</v>
      </c>
      <c r="O76" s="28" t="s">
        <v>130</v>
      </c>
      <c r="P76" s="28" t="str">
        <f t="shared" si="4"/>
        <v/>
      </c>
      <c r="Q76" s="29">
        <v>4</v>
      </c>
      <c r="R76" s="29">
        <v>36</v>
      </c>
      <c r="S76" s="28" t="s">
        <v>302</v>
      </c>
      <c r="T76" s="30" t="str">
        <f>_xlfn.CONCAT(Table5[[#This Row],[OrderID]]," | ",Table5[[#This Row],[City]]," | ",Table5[[#This Row],[ItemName]])</f>
        <v>ORD-1074 | Biratnagar | chicken momo (fried)</v>
      </c>
      <c r="U76" s="30" t="str">
        <f>UPPER(Table5[[#This Row],[City]])</f>
        <v>BIRATNAGAR</v>
      </c>
      <c r="V76" s="30" t="str">
        <f>LOWER(Table5[[#This Row],[PaymentMethod]])</f>
        <v>cash on delivery</v>
      </c>
      <c r="W76" s="30" cm="1">
        <f t="array" ref="W76">_xlfn.XLOOKUP(TRIM(Table5[[#This Row],[ItemName]]), TRIM(Menu_Price_List_tbl[ItemName]),Menu_Price_List_tbl[UnitPrice_NPR])</f>
        <v>210</v>
      </c>
      <c r="X76" s="31">
        <f t="shared" si="5"/>
        <v>420</v>
      </c>
      <c r="Y76" s="30">
        <f>_xlfn.XLOOKUP(Table5[[#This Row],[City]],City_Delivery_Fee_tbl[City],City_Delivery_Fee_tbl[BaseDeliveryFee_NPR])</f>
        <v>90</v>
      </c>
      <c r="Z7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76" s="31">
        <f>Table5[[#This Row],[Order Amount]]+Table5[[#This Row],[Delivery Fee]]-Table5[[#This Row],[Discount Amount]]</f>
        <v>410</v>
      </c>
      <c r="AB76" s="30" t="str">
        <f>_xlfn.XLOOKUP(Table5[[#This Row],[RiderID]], Rider_Directory!$F$2:$F$26, Rider_Directory!$B$2:$B$26)</f>
        <v>Biratnagar</v>
      </c>
      <c r="AC76" s="30" t="str" cm="1">
        <f t="array" ref="AC76">_xlfn.IFS(Table5[[#This Row],[Final Amount]]&lt;500, "Small", Table5[[#This Row],[Final Amount]]&lt;=1000, "Medium", Table5[[#This Row],[Final Amount]]&gt;1000, "Large")</f>
        <v>Small</v>
      </c>
      <c r="AD76" s="30" t="str">
        <f>_xlfn.LET(_xlpm.expiry,_xlfn.XLOOKUP(Table5[[#This Row],[PromoCode]],Promo_Codes!$A$2:$A$9,Promo_Codes!$F$2:$F$9,DATE(2099,1,1)),IF(Table5[[#This Row],[OrderDate]]&gt;_xlpm.expiry,"Expired Code Used","Valid"))</f>
        <v>Valid</v>
      </c>
    </row>
    <row r="77" spans="1:30" x14ac:dyDescent="0.3">
      <c r="A77" s="28" t="s">
        <v>892</v>
      </c>
      <c r="B77" s="27">
        <v>45931</v>
      </c>
      <c r="C77" s="28" t="s">
        <v>610</v>
      </c>
      <c r="D77" s="28" t="s">
        <v>1238</v>
      </c>
      <c r="E77" s="27">
        <v>45916</v>
      </c>
      <c r="F77" s="27" t="str">
        <f t="shared" si="3"/>
        <v>Returning</v>
      </c>
      <c r="G77" s="28" t="s">
        <v>198</v>
      </c>
      <c r="H77" s="28" t="s">
        <v>155</v>
      </c>
      <c r="I77" s="28" t="s">
        <v>156</v>
      </c>
      <c r="J77" s="28" t="s">
        <v>894</v>
      </c>
      <c r="K77" s="29">
        <v>2</v>
      </c>
      <c r="L77" s="28" t="s">
        <v>201</v>
      </c>
      <c r="M77" s="28" t="s">
        <v>128</v>
      </c>
      <c r="N77" s="28" t="s">
        <v>188</v>
      </c>
      <c r="O77" s="28" t="s">
        <v>130</v>
      </c>
      <c r="P77" s="28" t="str">
        <f t="shared" si="4"/>
        <v/>
      </c>
      <c r="Q77" s="29">
        <v>3</v>
      </c>
      <c r="R77" s="29">
        <v>25</v>
      </c>
      <c r="S77" s="28" t="s">
        <v>194</v>
      </c>
      <c r="T77" s="30" t="str">
        <f>_xlfn.CONCAT(Table5[[#This Row],[OrderID]]," | ",Table5[[#This Row],[City]]," | ",Table5[[#This Row],[ItemName]])</f>
        <v>ORD-1075 | Lalitpur | CHICKEN MANCHURIAN</v>
      </c>
      <c r="U77" s="30" t="str">
        <f>UPPER(Table5[[#This Row],[City]])</f>
        <v>LALITPUR</v>
      </c>
      <c r="V77" s="30" t="str">
        <f>LOWER(Table5[[#This Row],[PaymentMethod]])</f>
        <v>esewa</v>
      </c>
      <c r="W77" s="30" cm="1">
        <f t="array" ref="W77">_xlfn.XLOOKUP(TRIM(Table5[[#This Row],[ItemName]]), TRIM(Menu_Price_List_tbl[ItemName]),Menu_Price_List_tbl[UnitPrice_NPR])</f>
        <v>320</v>
      </c>
      <c r="X77" s="31">
        <f t="shared" si="5"/>
        <v>640</v>
      </c>
      <c r="Y77" s="30">
        <f>_xlfn.XLOOKUP(Table5[[#This Row],[City]],City_Delivery_Fee_tbl[City],City_Delivery_Fee_tbl[BaseDeliveryFee_NPR])</f>
        <v>50</v>
      </c>
      <c r="Z7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64</v>
      </c>
      <c r="AA77" s="31">
        <f>Table5[[#This Row],[Order Amount]]+Table5[[#This Row],[Delivery Fee]]-Table5[[#This Row],[Discount Amount]]</f>
        <v>626</v>
      </c>
      <c r="AB77" s="30" t="str">
        <f>_xlfn.XLOOKUP(Table5[[#This Row],[RiderID]], Rider_Directory!$F$2:$F$26, Rider_Directory!$B$2:$B$26)</f>
        <v>Lalitpur</v>
      </c>
      <c r="AC77" s="30" t="str" cm="1">
        <f t="array" ref="AC77">_xlfn.IFS(Table5[[#This Row],[Final Amount]]&lt;500, "Small", Table5[[#This Row],[Final Amount]]&lt;=1000, "Medium", Table5[[#This Row],[Final Amount]]&gt;1000, "Large")</f>
        <v>Medium</v>
      </c>
      <c r="AD77" s="30" t="str">
        <f>_xlfn.LET(_xlpm.expiry,_xlfn.XLOOKUP(Table5[[#This Row],[PromoCode]],Promo_Codes!$A$2:$A$9,Promo_Codes!$F$2:$F$9,DATE(2099,1,1)),IF(Table5[[#This Row],[OrderDate]]&gt;_xlpm.expiry,"Expired Code Used","Valid"))</f>
        <v>Valid</v>
      </c>
    </row>
    <row r="78" spans="1:30" x14ac:dyDescent="0.3">
      <c r="A78" s="28" t="s">
        <v>641</v>
      </c>
      <c r="B78" s="27">
        <v>45933</v>
      </c>
      <c r="C78" s="28" t="s">
        <v>561</v>
      </c>
      <c r="D78" s="28" t="s">
        <v>1231</v>
      </c>
      <c r="E78" s="27">
        <v>45886</v>
      </c>
      <c r="F78" s="27" t="str">
        <f t="shared" si="3"/>
        <v>Returning</v>
      </c>
      <c r="G78" s="28" t="s">
        <v>259</v>
      </c>
      <c r="H78" s="28" t="s">
        <v>350</v>
      </c>
      <c r="I78" s="28" t="s">
        <v>351</v>
      </c>
      <c r="J78" s="28" t="s">
        <v>638</v>
      </c>
      <c r="K78" s="29">
        <v>3</v>
      </c>
      <c r="L78" s="28" t="s">
        <v>260</v>
      </c>
      <c r="M78" s="28" t="s">
        <v>128</v>
      </c>
      <c r="N78" s="28" t="s">
        <v>188</v>
      </c>
      <c r="O78" s="28" t="s">
        <v>130</v>
      </c>
      <c r="P78" s="28" t="str">
        <f t="shared" si="4"/>
        <v/>
      </c>
      <c r="Q78" s="29">
        <v>4</v>
      </c>
      <c r="R78" s="29">
        <v>56</v>
      </c>
      <c r="S78" s="28"/>
      <c r="T78" s="30" t="str">
        <f>_xlfn.CONCAT(Table5[[#This Row],[OrderID]]," | ",Table5[[#This Row],[City]]," | ",Table5[[#This Row],[ItemName]])</f>
        <v>ORD-1076 | Dharan | Chicken Sekuwa</v>
      </c>
      <c r="U78" s="30" t="str">
        <f>UPPER(Table5[[#This Row],[City]])</f>
        <v>DHARAN</v>
      </c>
      <c r="V78" s="30" t="str">
        <f>LOWER(Table5[[#This Row],[PaymentMethod]])</f>
        <v>esewa</v>
      </c>
      <c r="W78" s="30" cm="1">
        <f t="array" ref="W78">_xlfn.XLOOKUP(TRIM(Table5[[#This Row],[ItemName]]), TRIM(Menu_Price_List_tbl[ItemName]),Menu_Price_List_tbl[UnitPrice_NPR])</f>
        <v>420</v>
      </c>
      <c r="X78" s="31">
        <f t="shared" si="5"/>
        <v>1260</v>
      </c>
      <c r="Y78" s="30">
        <f>_xlfn.XLOOKUP(Table5[[#This Row],[City]],City_Delivery_Fee_tbl[City],City_Delivery_Fee_tbl[BaseDeliveryFee_NPR])</f>
        <v>95</v>
      </c>
      <c r="Z7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126</v>
      </c>
      <c r="AA78" s="31">
        <f>Table5[[#This Row],[Order Amount]]+Table5[[#This Row],[Delivery Fee]]-Table5[[#This Row],[Discount Amount]]</f>
        <v>1229</v>
      </c>
      <c r="AB78" s="30" t="str">
        <f>_xlfn.XLOOKUP(Table5[[#This Row],[RiderID]], Rider_Directory!$F$2:$F$26, Rider_Directory!$B$2:$B$26)</f>
        <v>Dharan</v>
      </c>
      <c r="AC78" s="30" t="str" cm="1">
        <f t="array" ref="AC78">_xlfn.IFS(Table5[[#This Row],[Final Amount]]&lt;500, "Small", Table5[[#This Row],[Final Amount]]&lt;=1000, "Medium", Table5[[#This Row],[Final Amount]]&gt;1000, "Large")</f>
        <v>Large</v>
      </c>
      <c r="AD78" s="30" t="str">
        <f>_xlfn.LET(_xlpm.expiry,_xlfn.XLOOKUP(Table5[[#This Row],[PromoCode]],Promo_Codes!$A$2:$A$9,Promo_Codes!$F$2:$F$9,DATE(2099,1,1)),IF(Table5[[#This Row],[OrderDate]]&gt;_xlpm.expiry,"Expired Code Used","Valid"))</f>
        <v>Valid</v>
      </c>
    </row>
    <row r="79" spans="1:30" x14ac:dyDescent="0.3">
      <c r="A79" s="28" t="s">
        <v>183</v>
      </c>
      <c r="B79" s="27">
        <v>45933</v>
      </c>
      <c r="C79" s="28" t="s">
        <v>184</v>
      </c>
      <c r="D79" s="28" t="s">
        <v>1166</v>
      </c>
      <c r="E79" s="27">
        <v>45909</v>
      </c>
      <c r="F79" s="27" t="str">
        <f t="shared" si="3"/>
        <v>Returning</v>
      </c>
      <c r="G79" s="28" t="s">
        <v>135</v>
      </c>
      <c r="H79" s="28" t="s">
        <v>171</v>
      </c>
      <c r="I79" s="28" t="s">
        <v>147</v>
      </c>
      <c r="J79" s="28" t="s">
        <v>186</v>
      </c>
      <c r="K79" s="29">
        <v>1</v>
      </c>
      <c r="L79" s="28" t="s">
        <v>187</v>
      </c>
      <c r="M79" s="28" t="s">
        <v>140</v>
      </c>
      <c r="N79" s="28" t="s">
        <v>188</v>
      </c>
      <c r="O79" s="28" t="s">
        <v>130</v>
      </c>
      <c r="P79" s="28" t="str">
        <f t="shared" si="4"/>
        <v/>
      </c>
      <c r="Q79" s="29">
        <v>4</v>
      </c>
      <c r="R79" s="29">
        <v>27</v>
      </c>
      <c r="S79" s="28"/>
      <c r="T79" s="30" t="str">
        <f>_xlfn.CONCAT(Table5[[#This Row],[OrderID]]," | ",Table5[[#This Row],[City]]," | ",Table5[[#This Row],[ItemName]])</f>
        <v>ORD-1077 | Kathmandu | Sel Roti (4 pcs)</v>
      </c>
      <c r="U79" s="30" t="str">
        <f>UPPER(Table5[[#This Row],[City]])</f>
        <v>KATHMANDU</v>
      </c>
      <c r="V79" s="30" t="str">
        <f>LOWER(Table5[[#This Row],[PaymentMethod]])</f>
        <v>cash on delivery</v>
      </c>
      <c r="W79" s="30" cm="1">
        <f t="array" ref="W79">_xlfn.XLOOKUP(TRIM(Table5[[#This Row],[ItemName]]), TRIM(Menu_Price_List_tbl[ItemName]),Menu_Price_List_tbl[UnitPrice_NPR])</f>
        <v>140</v>
      </c>
      <c r="X79" s="31">
        <f t="shared" si="5"/>
        <v>140</v>
      </c>
      <c r="Y79" s="30">
        <f>_xlfn.XLOOKUP(Table5[[#This Row],[City]],City_Delivery_Fee_tbl[City],City_Delivery_Fee_tbl[BaseDeliveryFee_NPR])</f>
        <v>50</v>
      </c>
      <c r="Z7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14</v>
      </c>
      <c r="AA79" s="31">
        <f>Table5[[#This Row],[Order Amount]]+Table5[[#This Row],[Delivery Fee]]-Table5[[#This Row],[Discount Amount]]</f>
        <v>176</v>
      </c>
      <c r="AB79" s="30" t="str">
        <f>_xlfn.XLOOKUP(Table5[[#This Row],[RiderID]], Rider_Directory!$F$2:$F$26, Rider_Directory!$B$2:$B$26)</f>
        <v>Kathmandu</v>
      </c>
      <c r="AC79" s="30" t="str" cm="1">
        <f t="array" ref="AC79">_xlfn.IFS(Table5[[#This Row],[Final Amount]]&lt;500, "Small", Table5[[#This Row],[Final Amount]]&lt;=1000, "Medium", Table5[[#This Row],[Final Amount]]&gt;1000, "Large")</f>
        <v>Small</v>
      </c>
      <c r="AD79" s="30" t="str">
        <f>_xlfn.LET(_xlpm.expiry,_xlfn.XLOOKUP(Table5[[#This Row],[PromoCode]],Promo_Codes!$A$2:$A$9,Promo_Codes!$F$2:$F$9,DATE(2099,1,1)),IF(Table5[[#This Row],[OrderDate]]&gt;_xlpm.expiry,"Expired Code Used","Valid"))</f>
        <v>Valid</v>
      </c>
    </row>
    <row r="80" spans="1:30" x14ac:dyDescent="0.3">
      <c r="A80" s="28" t="s">
        <v>577</v>
      </c>
      <c r="B80" s="27">
        <v>45937</v>
      </c>
      <c r="C80" s="28" t="s">
        <v>877</v>
      </c>
      <c r="D80" s="28" t="s">
        <v>1234</v>
      </c>
      <c r="E80" s="27">
        <v>45926</v>
      </c>
      <c r="F80" s="27" t="str">
        <f t="shared" si="3"/>
        <v>Returning</v>
      </c>
      <c r="G80" s="28" t="s">
        <v>206</v>
      </c>
      <c r="H80" s="28" t="s">
        <v>216</v>
      </c>
      <c r="I80" s="28" t="s">
        <v>125</v>
      </c>
      <c r="J80" s="28" t="s">
        <v>571</v>
      </c>
      <c r="K80" s="29">
        <v>1</v>
      </c>
      <c r="L80" s="28" t="s">
        <v>353</v>
      </c>
      <c r="M80" s="28" t="s">
        <v>247</v>
      </c>
      <c r="N80" s="28" t="s">
        <v>188</v>
      </c>
      <c r="O80" s="28" t="s">
        <v>235</v>
      </c>
      <c r="P80" s="28" t="str">
        <f t="shared" si="4"/>
        <v/>
      </c>
      <c r="Q80" s="28"/>
      <c r="R80" s="29">
        <v>51</v>
      </c>
      <c r="S80" s="28"/>
      <c r="T80" s="30" t="str">
        <f>_xlfn.CONCAT(Table5[[#This Row],[OrderID]]," | ",Table5[[#This Row],[City]]," | ",Table5[[#This Row],[ItemName]])</f>
        <v>ORD-1078 | Pokhara | Choila (Buff)</v>
      </c>
      <c r="U80" s="30" t="str">
        <f>UPPER(Table5[[#This Row],[City]])</f>
        <v>POKHARA</v>
      </c>
      <c r="V80" s="30" t="str">
        <f>LOWER(Table5[[#This Row],[PaymentMethod]])</f>
        <v>ime pay</v>
      </c>
      <c r="W80" s="30" cm="1">
        <f t="array" ref="W80">_xlfn.XLOOKUP(TRIM(Table5[[#This Row],[ItemName]]), TRIM(Menu_Price_List_tbl[ItemName]),Menu_Price_List_tbl[UnitPrice_NPR])</f>
        <v>320</v>
      </c>
      <c r="X80" s="31">
        <f t="shared" si="5"/>
        <v>320</v>
      </c>
      <c r="Y80" s="30">
        <f>_xlfn.XLOOKUP(Table5[[#This Row],[City]],City_Delivery_Fee_tbl[City],City_Delivery_Fee_tbl[BaseDeliveryFee_NPR])</f>
        <v>70</v>
      </c>
      <c r="Z8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32</v>
      </c>
      <c r="AA80" s="31">
        <f>Table5[[#This Row],[Order Amount]]+Table5[[#This Row],[Delivery Fee]]-Table5[[#This Row],[Discount Amount]]</f>
        <v>358</v>
      </c>
      <c r="AB80" s="30" t="str">
        <f>_xlfn.XLOOKUP(Table5[[#This Row],[RiderID]], Rider_Directory!$F$2:$F$26, Rider_Directory!$B$2:$B$26)</f>
        <v>Pokhara</v>
      </c>
      <c r="AC80" s="30" t="str" cm="1">
        <f t="array" ref="AC80">_xlfn.IFS(Table5[[#This Row],[Final Amount]]&lt;500, "Small", Table5[[#This Row],[Final Amount]]&lt;=1000, "Medium", Table5[[#This Row],[Final Amount]]&gt;1000, "Large")</f>
        <v>Small</v>
      </c>
      <c r="AD80" s="30" t="str">
        <f>_xlfn.LET(_xlpm.expiry,_xlfn.XLOOKUP(Table5[[#This Row],[PromoCode]],Promo_Codes!$A$2:$A$9,Promo_Codes!$F$2:$F$9,DATE(2099,1,1)),IF(Table5[[#This Row],[OrderDate]]&gt;_xlpm.expiry,"Expired Code Used","Valid"))</f>
        <v>Valid</v>
      </c>
    </row>
    <row r="81" spans="1:30" x14ac:dyDescent="0.3">
      <c r="A81" s="28" t="s">
        <v>785</v>
      </c>
      <c r="B81" s="27">
        <v>45939</v>
      </c>
      <c r="C81" s="28" t="s">
        <v>1131</v>
      </c>
      <c r="D81" s="28" t="s">
        <v>1219</v>
      </c>
      <c r="E81" s="27">
        <v>45937</v>
      </c>
      <c r="F81" s="27" t="str">
        <f t="shared" si="3"/>
        <v>New</v>
      </c>
      <c r="G81" s="28" t="s">
        <v>145</v>
      </c>
      <c r="H81" s="28" t="s">
        <v>178</v>
      </c>
      <c r="I81" s="28" t="s">
        <v>179</v>
      </c>
      <c r="J81" s="28" t="s">
        <v>368</v>
      </c>
      <c r="K81" s="29">
        <v>3</v>
      </c>
      <c r="L81" s="28" t="s">
        <v>149</v>
      </c>
      <c r="M81" s="28" t="s">
        <v>159</v>
      </c>
      <c r="N81" s="28" t="s">
        <v>188</v>
      </c>
      <c r="O81" s="28" t="s">
        <v>130</v>
      </c>
      <c r="P81" s="28" t="str">
        <f t="shared" si="4"/>
        <v/>
      </c>
      <c r="Q81" s="29">
        <v>3</v>
      </c>
      <c r="R81" s="29">
        <v>52</v>
      </c>
      <c r="S81" s="28"/>
      <c r="T81" s="30" t="str">
        <f>_xlfn.CONCAT(Table5[[#This Row],[OrderID]]," | ",Table5[[#This Row],[City]]," | ",Table5[[#This Row],[ItemName]])</f>
        <v>ORD-1079 | Chitwan | Veg Burger</v>
      </c>
      <c r="U81" s="30" t="str">
        <f>UPPER(Table5[[#This Row],[City]])</f>
        <v>CHITWAN</v>
      </c>
      <c r="V81" s="30" t="str">
        <f>LOWER(Table5[[#This Row],[PaymentMethod]])</f>
        <v>khalti</v>
      </c>
      <c r="W81" s="30" cm="1">
        <f t="array" ref="W81">_xlfn.XLOOKUP(TRIM(Table5[[#This Row],[ItemName]]), TRIM(Menu_Price_List_tbl[ItemName]),Menu_Price_List_tbl[UnitPrice_NPR])</f>
        <v>220</v>
      </c>
      <c r="X81" s="31">
        <f t="shared" si="5"/>
        <v>660</v>
      </c>
      <c r="Y81" s="30">
        <f>_xlfn.XLOOKUP(Table5[[#This Row],[City]],City_Delivery_Fee_tbl[City],City_Delivery_Fee_tbl[BaseDeliveryFee_NPR])</f>
        <v>80</v>
      </c>
      <c r="Z8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66</v>
      </c>
      <c r="AA81" s="31">
        <f>Table5[[#This Row],[Order Amount]]+Table5[[#This Row],[Delivery Fee]]-Table5[[#This Row],[Discount Amount]]</f>
        <v>674</v>
      </c>
      <c r="AB81" s="30" t="str">
        <f>_xlfn.XLOOKUP(Table5[[#This Row],[RiderID]], Rider_Directory!$F$2:$F$26, Rider_Directory!$B$2:$B$26)</f>
        <v>Chitwan</v>
      </c>
      <c r="AC81" s="30" t="str" cm="1">
        <f t="array" ref="AC81">_xlfn.IFS(Table5[[#This Row],[Final Amount]]&lt;500, "Small", Table5[[#This Row],[Final Amount]]&lt;=1000, "Medium", Table5[[#This Row],[Final Amount]]&gt;1000, "Large")</f>
        <v>Medium</v>
      </c>
      <c r="AD81" s="30" t="str">
        <f>_xlfn.LET(_xlpm.expiry,_xlfn.XLOOKUP(Table5[[#This Row],[PromoCode]],Promo_Codes!$A$2:$A$9,Promo_Codes!$F$2:$F$9,DATE(2099,1,1)),IF(Table5[[#This Row],[OrderDate]]&gt;_xlpm.expiry,"Expired Code Used","Valid"))</f>
        <v>Valid</v>
      </c>
    </row>
    <row r="82" spans="1:30" x14ac:dyDescent="0.3">
      <c r="A82" s="28" t="s">
        <v>649</v>
      </c>
      <c r="B82" s="27">
        <v>45942</v>
      </c>
      <c r="C82" s="28" t="s">
        <v>610</v>
      </c>
      <c r="D82" s="28" t="s">
        <v>1238</v>
      </c>
      <c r="E82" s="27">
        <v>45916</v>
      </c>
      <c r="F82" s="27" t="str">
        <f t="shared" si="3"/>
        <v>Returning</v>
      </c>
      <c r="G82" s="28" t="s">
        <v>259</v>
      </c>
      <c r="H82" s="28" t="s">
        <v>192</v>
      </c>
      <c r="I82" s="28" t="s">
        <v>137</v>
      </c>
      <c r="J82" s="28" t="s">
        <v>651</v>
      </c>
      <c r="K82" s="29">
        <v>1</v>
      </c>
      <c r="L82" s="28" t="s">
        <v>474</v>
      </c>
      <c r="M82" s="28" t="s">
        <v>140</v>
      </c>
      <c r="N82" s="28" t="s">
        <v>129</v>
      </c>
      <c r="O82" s="28" t="s">
        <v>235</v>
      </c>
      <c r="P82" s="28" t="str">
        <f t="shared" si="4"/>
        <v/>
      </c>
      <c r="Q82" s="28"/>
      <c r="R82" s="29">
        <v>53</v>
      </c>
      <c r="S82" s="28" t="s">
        <v>284</v>
      </c>
      <c r="T82" s="30" t="str">
        <f>_xlfn.CONCAT(Table5[[#This Row],[OrderID]]," | ",Table5[[#This Row],[City]]," | ",Table5[[#This Row],[ItemName]])</f>
        <v xml:space="preserve">ORD-1080 | Dharan | Veg Thakali Set  </v>
      </c>
      <c r="U82" s="30" t="str">
        <f>UPPER(Table5[[#This Row],[City]])</f>
        <v>DHARAN</v>
      </c>
      <c r="V82" s="30" t="str">
        <f>LOWER(Table5[[#This Row],[PaymentMethod]])</f>
        <v>cash on delivery</v>
      </c>
      <c r="W82" s="30" cm="1">
        <f t="array" ref="W82">_xlfn.XLOOKUP(TRIM(Table5[[#This Row],[ItemName]]), TRIM(Menu_Price_List_tbl[ItemName]),Menu_Price_List_tbl[UnitPrice_NPR])</f>
        <v>380</v>
      </c>
      <c r="X82" s="31">
        <f t="shared" si="5"/>
        <v>380</v>
      </c>
      <c r="Y82" s="30">
        <f>_xlfn.XLOOKUP(Table5[[#This Row],[City]],City_Delivery_Fee_tbl[City],City_Delivery_Fee_tbl[BaseDeliveryFee_NPR])</f>
        <v>95</v>
      </c>
      <c r="Z8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82" s="31">
        <f>Table5[[#This Row],[Order Amount]]+Table5[[#This Row],[Delivery Fee]]-Table5[[#This Row],[Discount Amount]]</f>
        <v>375</v>
      </c>
      <c r="AB82" s="30" t="str">
        <f>_xlfn.XLOOKUP(Table5[[#This Row],[RiderID]], Rider_Directory!$F$2:$F$26, Rider_Directory!$B$2:$B$26)</f>
        <v>Dharan</v>
      </c>
      <c r="AC82" s="30" t="str" cm="1">
        <f t="array" ref="AC82">_xlfn.IFS(Table5[[#This Row],[Final Amount]]&lt;500, "Small", Table5[[#This Row],[Final Amount]]&lt;=1000, "Medium", Table5[[#This Row],[Final Amount]]&gt;1000, "Large")</f>
        <v>Small</v>
      </c>
      <c r="AD82" s="30" t="str">
        <f>_xlfn.LET(_xlpm.expiry,_xlfn.XLOOKUP(Table5[[#This Row],[PromoCode]],Promo_Codes!$A$2:$A$9,Promo_Codes!$F$2:$F$9,DATE(2099,1,1)),IF(Table5[[#This Row],[OrderDate]]&gt;_xlpm.expiry,"Expired Code Used","Valid"))</f>
        <v>Valid</v>
      </c>
    </row>
    <row r="83" spans="1:30" x14ac:dyDescent="0.3">
      <c r="A83" s="28" t="s">
        <v>1004</v>
      </c>
      <c r="B83" s="27">
        <v>45942</v>
      </c>
      <c r="C83" s="28" t="s">
        <v>613</v>
      </c>
      <c r="D83" s="28" t="s">
        <v>1239</v>
      </c>
      <c r="E83" s="27">
        <v>45940</v>
      </c>
      <c r="F83" s="27" t="str">
        <f t="shared" si="3"/>
        <v>New</v>
      </c>
      <c r="G83" s="28" t="s">
        <v>198</v>
      </c>
      <c r="H83" s="28" t="s">
        <v>124</v>
      </c>
      <c r="I83" s="28" t="s">
        <v>125</v>
      </c>
      <c r="J83" s="28" t="s">
        <v>1005</v>
      </c>
      <c r="K83" s="29">
        <v>4</v>
      </c>
      <c r="L83" s="28" t="s">
        <v>201</v>
      </c>
      <c r="M83" s="28" t="s">
        <v>159</v>
      </c>
      <c r="N83" s="28" t="s">
        <v>188</v>
      </c>
      <c r="O83" s="28" t="s">
        <v>130</v>
      </c>
      <c r="P83" s="28" t="str">
        <f t="shared" si="4"/>
        <v/>
      </c>
      <c r="Q83" s="29">
        <v>4</v>
      </c>
      <c r="R83" s="29">
        <v>33</v>
      </c>
      <c r="S83" s="28" t="s">
        <v>302</v>
      </c>
      <c r="T83" s="30" t="str">
        <f>_xlfn.CONCAT(Table5[[#This Row],[OrderID]]," | ",Table5[[#This Row],[City]]," | ",Table5[[#This Row],[ItemName]])</f>
        <v xml:space="preserve">ORD-1081 | Lalitpur | Bara  </v>
      </c>
      <c r="U83" s="30" t="str">
        <f>UPPER(Table5[[#This Row],[City]])</f>
        <v>LALITPUR</v>
      </c>
      <c r="V83" s="30" t="str">
        <f>LOWER(Table5[[#This Row],[PaymentMethod]])</f>
        <v>khalti</v>
      </c>
      <c r="W83" s="30" cm="1">
        <f t="array" ref="W83">_xlfn.XLOOKUP(TRIM(Table5[[#This Row],[ItemName]]), TRIM(Menu_Price_List_tbl[ItemName]),Menu_Price_List_tbl[UnitPrice_NPR])</f>
        <v>160</v>
      </c>
      <c r="X83" s="31">
        <f t="shared" si="5"/>
        <v>640</v>
      </c>
      <c r="Y83" s="30">
        <f>_xlfn.XLOOKUP(Table5[[#This Row],[City]],City_Delivery_Fee_tbl[City],City_Delivery_Fee_tbl[BaseDeliveryFee_NPR])</f>
        <v>50</v>
      </c>
      <c r="Z8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64</v>
      </c>
      <c r="AA83" s="31">
        <f>Table5[[#This Row],[Order Amount]]+Table5[[#This Row],[Delivery Fee]]-Table5[[#This Row],[Discount Amount]]</f>
        <v>626</v>
      </c>
      <c r="AB83" s="30" t="str">
        <f>_xlfn.XLOOKUP(Table5[[#This Row],[RiderID]], Rider_Directory!$F$2:$F$26, Rider_Directory!$B$2:$B$26)</f>
        <v>Lalitpur</v>
      </c>
      <c r="AC83" s="30" t="str" cm="1">
        <f t="array" ref="AC83">_xlfn.IFS(Table5[[#This Row],[Final Amount]]&lt;500, "Small", Table5[[#This Row],[Final Amount]]&lt;=1000, "Medium", Table5[[#This Row],[Final Amount]]&gt;1000, "Large")</f>
        <v>Medium</v>
      </c>
      <c r="AD83" s="30" t="str">
        <f>_xlfn.LET(_xlpm.expiry,_xlfn.XLOOKUP(Table5[[#This Row],[PromoCode]],Promo_Codes!$A$2:$A$9,Promo_Codes!$F$2:$F$9,DATE(2099,1,1)),IF(Table5[[#This Row],[OrderDate]]&gt;_xlpm.expiry,"Expired Code Used","Valid"))</f>
        <v>Valid</v>
      </c>
    </row>
    <row r="84" spans="1:30" x14ac:dyDescent="0.3">
      <c r="A84" s="28" t="s">
        <v>883</v>
      </c>
      <c r="B84" s="27">
        <v>45944</v>
      </c>
      <c r="C84" s="28" t="s">
        <v>1136</v>
      </c>
      <c r="D84" s="28" t="s">
        <v>1240</v>
      </c>
      <c r="E84" s="27">
        <v>45700</v>
      </c>
      <c r="F84" s="27" t="str">
        <f t="shared" si="3"/>
        <v>Returning</v>
      </c>
      <c r="G84" s="28" t="s">
        <v>198</v>
      </c>
      <c r="H84" s="28" t="s">
        <v>199</v>
      </c>
      <c r="I84" s="28" t="s">
        <v>179</v>
      </c>
      <c r="J84" s="28" t="s">
        <v>885</v>
      </c>
      <c r="K84" s="29">
        <v>1</v>
      </c>
      <c r="L84" s="28" t="s">
        <v>213</v>
      </c>
      <c r="M84" s="28" t="s">
        <v>159</v>
      </c>
      <c r="N84" s="28"/>
      <c r="O84" s="28" t="s">
        <v>130</v>
      </c>
      <c r="P84" s="28" t="str">
        <f t="shared" si="4"/>
        <v/>
      </c>
      <c r="Q84" s="29">
        <v>4</v>
      </c>
      <c r="R84" s="29">
        <v>33</v>
      </c>
      <c r="S84" s="28"/>
      <c r="T84" s="30" t="str">
        <f>_xlfn.CONCAT(Table5[[#This Row],[OrderID]]," | ",Table5[[#This Row],[City]]," | ",Table5[[#This Row],[ItemName]])</f>
        <v>ORD-1082 | Lalitpur |   Chicken Chowmein</v>
      </c>
      <c r="U84" s="30" t="str">
        <f>UPPER(Table5[[#This Row],[City]])</f>
        <v>LALITPUR</v>
      </c>
      <c r="V84" s="30" t="str">
        <f>LOWER(Table5[[#This Row],[PaymentMethod]])</f>
        <v>khalti</v>
      </c>
      <c r="W84" s="30" cm="1">
        <f t="array" ref="W84">_xlfn.XLOOKUP(TRIM(Table5[[#This Row],[ItemName]]), TRIM(Menu_Price_List_tbl[ItemName]),Menu_Price_List_tbl[UnitPrice_NPR])</f>
        <v>250</v>
      </c>
      <c r="X84" s="31">
        <f t="shared" si="5"/>
        <v>250</v>
      </c>
      <c r="Y84" s="30">
        <f>_xlfn.XLOOKUP(Table5[[#This Row],[City]],City_Delivery_Fee_tbl[City],City_Delivery_Fee_tbl[BaseDeliveryFee_NPR])</f>
        <v>50</v>
      </c>
      <c r="Z8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84" s="31">
        <f>Table5[[#This Row],[Order Amount]]+Table5[[#This Row],[Delivery Fee]]-Table5[[#This Row],[Discount Amount]]</f>
        <v>300</v>
      </c>
      <c r="AB84" s="30" t="str">
        <f>_xlfn.XLOOKUP(Table5[[#This Row],[RiderID]], Rider_Directory!$F$2:$F$26, Rider_Directory!$B$2:$B$26)</f>
        <v>Lalitpur</v>
      </c>
      <c r="AC84" s="30" t="str" cm="1">
        <f t="array" ref="AC84">_xlfn.IFS(Table5[[#This Row],[Final Amount]]&lt;500, "Small", Table5[[#This Row],[Final Amount]]&lt;=1000, "Medium", Table5[[#This Row],[Final Amount]]&gt;1000, "Large")</f>
        <v>Small</v>
      </c>
      <c r="AD84" s="30" t="str">
        <f>_xlfn.LET(_xlpm.expiry,_xlfn.XLOOKUP(Table5[[#This Row],[PromoCode]],Promo_Codes!$A$2:$A$9,Promo_Codes!$F$2:$F$9,DATE(2099,1,1)),IF(Table5[[#This Row],[OrderDate]]&gt;_xlpm.expiry,"Expired Code Used","Valid"))</f>
        <v>Valid</v>
      </c>
    </row>
    <row r="85" spans="1:30" x14ac:dyDescent="0.3">
      <c r="A85" s="28" t="s">
        <v>471</v>
      </c>
      <c r="B85" s="27">
        <v>45945</v>
      </c>
      <c r="C85" s="28" t="s">
        <v>1130</v>
      </c>
      <c r="D85" s="28" t="s">
        <v>1217</v>
      </c>
      <c r="E85" s="27">
        <v>45944</v>
      </c>
      <c r="F85" s="27" t="str">
        <f t="shared" si="3"/>
        <v>New</v>
      </c>
      <c r="G85" s="28" t="s">
        <v>259</v>
      </c>
      <c r="H85" s="28" t="s">
        <v>232</v>
      </c>
      <c r="I85" s="28" t="s">
        <v>233</v>
      </c>
      <c r="J85" s="28" t="s">
        <v>234</v>
      </c>
      <c r="K85" s="29">
        <v>3</v>
      </c>
      <c r="L85" s="28" t="s">
        <v>474</v>
      </c>
      <c r="M85" s="28" t="s">
        <v>140</v>
      </c>
      <c r="N85" s="28" t="s">
        <v>188</v>
      </c>
      <c r="O85" s="28" t="s">
        <v>130</v>
      </c>
      <c r="P85" s="28" t="str">
        <f t="shared" si="4"/>
        <v/>
      </c>
      <c r="Q85" s="29">
        <v>3</v>
      </c>
      <c r="R85" s="29">
        <v>59</v>
      </c>
      <c r="S85" s="28"/>
      <c r="T85" s="30" t="str">
        <f>_xlfn.CONCAT(Table5[[#This Row],[OrderID]]," | ",Table5[[#This Row],[City]]," | ",Table5[[#This Row],[ItemName]])</f>
        <v>ORD-1083 | Dharan | Buff Momo (Steamed)</v>
      </c>
      <c r="U85" s="30" t="str">
        <f>UPPER(Table5[[#This Row],[City]])</f>
        <v>DHARAN</v>
      </c>
      <c r="V85" s="30" t="str">
        <f>LOWER(Table5[[#This Row],[PaymentMethod]])</f>
        <v>cash on delivery</v>
      </c>
      <c r="W85" s="30" cm="1">
        <f t="array" ref="W85">_xlfn.XLOOKUP(TRIM(Table5[[#This Row],[ItemName]]), TRIM(Menu_Price_List_tbl[ItemName]),Menu_Price_List_tbl[UnitPrice_NPR])</f>
        <v>170</v>
      </c>
      <c r="X85" s="31">
        <f t="shared" si="5"/>
        <v>510</v>
      </c>
      <c r="Y85" s="30">
        <f>_xlfn.XLOOKUP(Table5[[#This Row],[City]],City_Delivery_Fee_tbl[City],City_Delivery_Fee_tbl[BaseDeliveryFee_NPR])</f>
        <v>95</v>
      </c>
      <c r="Z8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51</v>
      </c>
      <c r="AA85" s="31">
        <f>Table5[[#This Row],[Order Amount]]+Table5[[#This Row],[Delivery Fee]]-Table5[[#This Row],[Discount Amount]]</f>
        <v>554</v>
      </c>
      <c r="AB85" s="30" t="str">
        <f>_xlfn.XLOOKUP(Table5[[#This Row],[RiderID]], Rider_Directory!$F$2:$F$26, Rider_Directory!$B$2:$B$26)</f>
        <v>Dharan</v>
      </c>
      <c r="AC85" s="30" t="str" cm="1">
        <f t="array" ref="AC85">_xlfn.IFS(Table5[[#This Row],[Final Amount]]&lt;500, "Small", Table5[[#This Row],[Final Amount]]&lt;=1000, "Medium", Table5[[#This Row],[Final Amount]]&gt;1000, "Large")</f>
        <v>Medium</v>
      </c>
      <c r="AD85" s="30" t="str">
        <f>_xlfn.LET(_xlpm.expiry,_xlfn.XLOOKUP(Table5[[#This Row],[PromoCode]],Promo_Codes!$A$2:$A$9,Promo_Codes!$F$2:$F$9,DATE(2099,1,1)),IF(Table5[[#This Row],[OrderDate]]&gt;_xlpm.expiry,"Expired Code Used","Valid"))</f>
        <v>Valid</v>
      </c>
    </row>
    <row r="86" spans="1:30" x14ac:dyDescent="0.3">
      <c r="A86" s="28" t="s">
        <v>636</v>
      </c>
      <c r="B86" s="27">
        <v>45945</v>
      </c>
      <c r="C86" s="28" t="s">
        <v>1123</v>
      </c>
      <c r="D86" s="28" t="s">
        <v>1192</v>
      </c>
      <c r="E86" s="27">
        <v>45930</v>
      </c>
      <c r="F86" s="27" t="str">
        <f t="shared" si="3"/>
        <v>Returning</v>
      </c>
      <c r="G86" s="28" t="s">
        <v>259</v>
      </c>
      <c r="H86" s="28" t="s">
        <v>538</v>
      </c>
      <c r="I86" s="28" t="s">
        <v>351</v>
      </c>
      <c r="J86" s="28" t="s">
        <v>638</v>
      </c>
      <c r="K86" s="29">
        <v>1</v>
      </c>
      <c r="L86" s="28" t="s">
        <v>260</v>
      </c>
      <c r="M86" s="28" t="s">
        <v>140</v>
      </c>
      <c r="N86" s="28" t="s">
        <v>188</v>
      </c>
      <c r="O86" s="28" t="s">
        <v>279</v>
      </c>
      <c r="P86" s="28" t="str">
        <f t="shared" si="4"/>
        <v/>
      </c>
      <c r="Q86" s="28"/>
      <c r="R86" s="29">
        <v>63</v>
      </c>
      <c r="S86" s="28"/>
      <c r="T86" s="30" t="str">
        <f>_xlfn.CONCAT(Table5[[#This Row],[OrderID]]," | ",Table5[[#This Row],[City]]," | ",Table5[[#This Row],[ItemName]])</f>
        <v>ORD-1084 | Dharan | Chicken Sekuwa</v>
      </c>
      <c r="U86" s="30" t="str">
        <f>UPPER(Table5[[#This Row],[City]])</f>
        <v>DHARAN</v>
      </c>
      <c r="V86" s="30" t="str">
        <f>LOWER(Table5[[#This Row],[PaymentMethod]])</f>
        <v>cash on delivery</v>
      </c>
      <c r="W86" s="30" cm="1">
        <f t="array" ref="W86">_xlfn.XLOOKUP(TRIM(Table5[[#This Row],[ItemName]]), TRIM(Menu_Price_List_tbl[ItemName]),Menu_Price_List_tbl[UnitPrice_NPR])</f>
        <v>420</v>
      </c>
      <c r="X86" s="31">
        <f t="shared" si="5"/>
        <v>420</v>
      </c>
      <c r="Y86" s="30">
        <f>_xlfn.XLOOKUP(Table5[[#This Row],[City]],City_Delivery_Fee_tbl[City],City_Delivery_Fee_tbl[BaseDeliveryFee_NPR])</f>
        <v>95</v>
      </c>
      <c r="Z8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42</v>
      </c>
      <c r="AA86" s="31">
        <f>Table5[[#This Row],[Order Amount]]+Table5[[#This Row],[Delivery Fee]]-Table5[[#This Row],[Discount Amount]]</f>
        <v>473</v>
      </c>
      <c r="AB86" s="30" t="str">
        <f>_xlfn.XLOOKUP(Table5[[#This Row],[RiderID]], Rider_Directory!$F$2:$F$26, Rider_Directory!$B$2:$B$26)</f>
        <v>Dharan</v>
      </c>
      <c r="AC86" s="30" t="str" cm="1">
        <f t="array" ref="AC86">_xlfn.IFS(Table5[[#This Row],[Final Amount]]&lt;500, "Small", Table5[[#This Row],[Final Amount]]&lt;=1000, "Medium", Table5[[#This Row],[Final Amount]]&gt;1000, "Large")</f>
        <v>Small</v>
      </c>
      <c r="AD86" s="30" t="str">
        <f>_xlfn.LET(_xlpm.expiry,_xlfn.XLOOKUP(Table5[[#This Row],[PromoCode]],Promo_Codes!$A$2:$A$9,Promo_Codes!$F$2:$F$9,DATE(2099,1,1)),IF(Table5[[#This Row],[OrderDate]]&gt;_xlpm.expiry,"Expired Code Used","Valid"))</f>
        <v>Valid</v>
      </c>
    </row>
    <row r="87" spans="1:30" x14ac:dyDescent="0.3">
      <c r="A87" s="28" t="s">
        <v>1024</v>
      </c>
      <c r="B87" s="27">
        <v>45947</v>
      </c>
      <c r="C87" s="28" t="s">
        <v>444</v>
      </c>
      <c r="D87" s="28" t="s">
        <v>1213</v>
      </c>
      <c r="E87" s="27">
        <v>45947</v>
      </c>
      <c r="F87" s="27" t="str">
        <f t="shared" si="3"/>
        <v>New</v>
      </c>
      <c r="G87" s="28" t="s">
        <v>135</v>
      </c>
      <c r="H87" s="28" t="s">
        <v>146</v>
      </c>
      <c r="I87" s="28" t="s">
        <v>147</v>
      </c>
      <c r="J87" s="28" t="s">
        <v>1025</v>
      </c>
      <c r="K87" s="29">
        <v>2</v>
      </c>
      <c r="L87" s="28" t="s">
        <v>223</v>
      </c>
      <c r="M87" s="28" t="s">
        <v>159</v>
      </c>
      <c r="N87" s="28" t="s">
        <v>188</v>
      </c>
      <c r="O87" s="28" t="s">
        <v>130</v>
      </c>
      <c r="P87" s="28" t="str">
        <f t="shared" si="4"/>
        <v/>
      </c>
      <c r="Q87" s="28"/>
      <c r="R87" s="29">
        <v>20</v>
      </c>
      <c r="S87" s="28"/>
      <c r="T87" s="30" t="str">
        <f>_xlfn.CONCAT(Table5[[#This Row],[OrderID]]," | ",Table5[[#This Row],[City]]," | ",Table5[[#This Row],[ItemName]])</f>
        <v>ORD-1085 | Kathmandu | cheese cake slice</v>
      </c>
      <c r="U87" s="30" t="str">
        <f>UPPER(Table5[[#This Row],[City]])</f>
        <v>KATHMANDU</v>
      </c>
      <c r="V87" s="30" t="str">
        <f>LOWER(Table5[[#This Row],[PaymentMethod]])</f>
        <v>khalti</v>
      </c>
      <c r="W87" s="30" cm="1">
        <f t="array" ref="W87">_xlfn.XLOOKUP(TRIM(Table5[[#This Row],[ItemName]]), TRIM(Menu_Price_List_tbl[ItemName]),Menu_Price_List_tbl[UnitPrice_NPR])</f>
        <v>250</v>
      </c>
      <c r="X87" s="31">
        <f t="shared" si="5"/>
        <v>500</v>
      </c>
      <c r="Y87" s="30">
        <f>_xlfn.XLOOKUP(Table5[[#This Row],[City]],City_Delivery_Fee_tbl[City],City_Delivery_Fee_tbl[BaseDeliveryFee_NPR])</f>
        <v>50</v>
      </c>
      <c r="Z8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87" s="31">
        <f>Table5[[#This Row],[Order Amount]]+Table5[[#This Row],[Delivery Fee]]-Table5[[#This Row],[Discount Amount]]</f>
        <v>500</v>
      </c>
      <c r="AB87" s="30" t="str">
        <f>_xlfn.XLOOKUP(Table5[[#This Row],[RiderID]], Rider_Directory!$F$2:$F$26, Rider_Directory!$B$2:$B$26)</f>
        <v>Kathmandu</v>
      </c>
      <c r="AC87" s="30" t="str" cm="1">
        <f t="array" ref="AC87">_xlfn.IFS(Table5[[#This Row],[Final Amount]]&lt;500, "Small", Table5[[#This Row],[Final Amount]]&lt;=1000, "Medium", Table5[[#This Row],[Final Amount]]&gt;1000, "Large")</f>
        <v>Medium</v>
      </c>
      <c r="AD87" s="30" t="str">
        <f>_xlfn.LET(_xlpm.expiry,_xlfn.XLOOKUP(Table5[[#This Row],[PromoCode]],Promo_Codes!$A$2:$A$9,Promo_Codes!$F$2:$F$9,DATE(2099,1,1)),IF(Table5[[#This Row],[OrderDate]]&gt;_xlpm.expiry,"Expired Code Used","Valid"))</f>
        <v>Valid</v>
      </c>
    </row>
    <row r="88" spans="1:30" x14ac:dyDescent="0.3">
      <c r="A88" s="28" t="s">
        <v>653</v>
      </c>
      <c r="B88" s="27">
        <v>45947</v>
      </c>
      <c r="C88" s="28" t="s">
        <v>1137</v>
      </c>
      <c r="D88" s="28" t="s">
        <v>1244</v>
      </c>
      <c r="E88" s="27">
        <v>45945</v>
      </c>
      <c r="F88" s="27" t="str">
        <f t="shared" si="3"/>
        <v>New</v>
      </c>
      <c r="G88" s="28" t="s">
        <v>135</v>
      </c>
      <c r="H88" s="28" t="s">
        <v>163</v>
      </c>
      <c r="I88" s="28" t="s">
        <v>164</v>
      </c>
      <c r="J88" s="28" t="s">
        <v>517</v>
      </c>
      <c r="K88" s="29">
        <v>3</v>
      </c>
      <c r="L88" s="28" t="s">
        <v>139</v>
      </c>
      <c r="M88" s="28" t="s">
        <v>278</v>
      </c>
      <c r="N88" s="28"/>
      <c r="O88" s="28" t="s">
        <v>130</v>
      </c>
      <c r="P88" s="28" t="str">
        <f t="shared" si="4"/>
        <v/>
      </c>
      <c r="Q88" s="29">
        <v>3</v>
      </c>
      <c r="R88" s="29">
        <v>33</v>
      </c>
      <c r="S88" s="28"/>
      <c r="T88" s="30" t="str">
        <f>_xlfn.CONCAT(Table5[[#This Row],[OrderID]]," | ",Table5[[#This Row],[City]]," | ",Table5[[#This Row],[ItemName]])</f>
        <v>ORD-1086 | Kathmandu | Mango Juice</v>
      </c>
      <c r="U88" s="30" t="str">
        <f>UPPER(Table5[[#This Row],[City]])</f>
        <v>KATHMANDU</v>
      </c>
      <c r="V88" s="30" t="str">
        <f>LOWER(Table5[[#This Row],[PaymentMethod]])</f>
        <v>connectips</v>
      </c>
      <c r="W88" s="30" cm="1">
        <f t="array" ref="W88">_xlfn.XLOOKUP(TRIM(Table5[[#This Row],[ItemName]]), TRIM(Menu_Price_List_tbl[ItemName]),Menu_Price_List_tbl[UnitPrice_NPR])</f>
        <v>120</v>
      </c>
      <c r="X88" s="31">
        <f t="shared" si="5"/>
        <v>360</v>
      </c>
      <c r="Y88" s="30">
        <f>_xlfn.XLOOKUP(Table5[[#This Row],[City]],City_Delivery_Fee_tbl[City],City_Delivery_Fee_tbl[BaseDeliveryFee_NPR])</f>
        <v>50</v>
      </c>
      <c r="Z8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88" s="31">
        <f>Table5[[#This Row],[Order Amount]]+Table5[[#This Row],[Delivery Fee]]-Table5[[#This Row],[Discount Amount]]</f>
        <v>410</v>
      </c>
      <c r="AB88" s="30" t="str">
        <f>_xlfn.XLOOKUP(Table5[[#This Row],[RiderID]], Rider_Directory!$F$2:$F$26, Rider_Directory!$B$2:$B$26)</f>
        <v>Kathmandu</v>
      </c>
      <c r="AC88" s="30" t="str" cm="1">
        <f t="array" ref="AC88">_xlfn.IFS(Table5[[#This Row],[Final Amount]]&lt;500, "Small", Table5[[#This Row],[Final Amount]]&lt;=1000, "Medium", Table5[[#This Row],[Final Amount]]&gt;1000, "Large")</f>
        <v>Small</v>
      </c>
      <c r="AD88" s="30" t="str">
        <f>_xlfn.LET(_xlpm.expiry,_xlfn.XLOOKUP(Table5[[#This Row],[PromoCode]],Promo_Codes!$A$2:$A$9,Promo_Codes!$F$2:$F$9,DATE(2099,1,1)),IF(Table5[[#This Row],[OrderDate]]&gt;_xlpm.expiry,"Expired Code Used","Valid"))</f>
        <v>Valid</v>
      </c>
    </row>
    <row r="89" spans="1:30" x14ac:dyDescent="0.3">
      <c r="A89" s="28" t="s">
        <v>895</v>
      </c>
      <c r="B89" s="27">
        <v>45947</v>
      </c>
      <c r="C89" s="28" t="s">
        <v>896</v>
      </c>
      <c r="D89" s="28" t="s">
        <v>1221</v>
      </c>
      <c r="E89" s="27">
        <v>45947</v>
      </c>
      <c r="F89" s="27" t="str">
        <f t="shared" si="3"/>
        <v>New</v>
      </c>
      <c r="G89" s="28" t="s">
        <v>123</v>
      </c>
      <c r="H89" s="28" t="s">
        <v>136</v>
      </c>
      <c r="I89" s="28" t="s">
        <v>137</v>
      </c>
      <c r="J89" s="28" t="s">
        <v>897</v>
      </c>
      <c r="K89" s="29">
        <v>1</v>
      </c>
      <c r="L89" s="28" t="s">
        <v>290</v>
      </c>
      <c r="M89" s="28" t="s">
        <v>128</v>
      </c>
      <c r="N89" s="28" t="s">
        <v>529</v>
      </c>
      <c r="O89" s="28" t="s">
        <v>235</v>
      </c>
      <c r="P89" s="28" t="str">
        <f t="shared" si="4"/>
        <v/>
      </c>
      <c r="Q89" s="28"/>
      <c r="R89" s="29">
        <v>46</v>
      </c>
      <c r="S89" s="28"/>
      <c r="T89" s="30" t="str">
        <f>_xlfn.CONCAT(Table5[[#This Row],[OrderID]]," | ",Table5[[#This Row],[City]]," | ",Table5[[#This Row],[ItemName]])</f>
        <v>ORD-1087 | Biratnagar | veg thakali set</v>
      </c>
      <c r="U89" s="30" t="str">
        <f>UPPER(Table5[[#This Row],[City]])</f>
        <v>BIRATNAGAR</v>
      </c>
      <c r="V89" s="30" t="str">
        <f>LOWER(Table5[[#This Row],[PaymentMethod]])</f>
        <v>esewa</v>
      </c>
      <c r="W89" s="30" cm="1">
        <f t="array" ref="W89">_xlfn.XLOOKUP(TRIM(Table5[[#This Row],[ItemName]]), TRIM(Menu_Price_List_tbl[ItemName]),Menu_Price_List_tbl[UnitPrice_NPR])</f>
        <v>380</v>
      </c>
      <c r="X89" s="31">
        <f t="shared" si="5"/>
        <v>380</v>
      </c>
      <c r="Y89" s="30">
        <f>_xlfn.XLOOKUP(Table5[[#This Row],[City]],City_Delivery_Fee_tbl[City],City_Delivery_Fee_tbl[BaseDeliveryFee_NPR])</f>
        <v>90</v>
      </c>
      <c r="Z8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30</v>
      </c>
      <c r="AA89" s="31">
        <f>Table5[[#This Row],[Order Amount]]+Table5[[#This Row],[Delivery Fee]]-Table5[[#This Row],[Discount Amount]]</f>
        <v>440</v>
      </c>
      <c r="AB89" s="30" t="str">
        <f>_xlfn.XLOOKUP(Table5[[#This Row],[RiderID]], Rider_Directory!$F$2:$F$26, Rider_Directory!$B$2:$B$26)</f>
        <v>Biratnagar</v>
      </c>
      <c r="AC89" s="30" t="str" cm="1">
        <f t="array" ref="AC89">_xlfn.IFS(Table5[[#This Row],[Final Amount]]&lt;500, "Small", Table5[[#This Row],[Final Amount]]&lt;=1000, "Medium", Table5[[#This Row],[Final Amount]]&gt;1000, "Large")</f>
        <v>Small</v>
      </c>
      <c r="AD89" s="30" t="str">
        <f>_xlfn.LET(_xlpm.expiry,_xlfn.XLOOKUP(Table5[[#This Row],[PromoCode]],Promo_Codes!$A$2:$A$9,Promo_Codes!$F$2:$F$9,DATE(2099,1,1)),IF(Table5[[#This Row],[OrderDate]]&gt;_xlpm.expiry,"Expired Code Used","Valid"))</f>
        <v>Expired Code Used</v>
      </c>
    </row>
    <row r="90" spans="1:30" x14ac:dyDescent="0.3">
      <c r="A90" s="28" t="s">
        <v>633</v>
      </c>
      <c r="B90" s="27">
        <v>45948</v>
      </c>
      <c r="C90" s="28" t="s">
        <v>355</v>
      </c>
      <c r="D90" s="28" t="s">
        <v>1194</v>
      </c>
      <c r="E90" s="27">
        <v>45911</v>
      </c>
      <c r="F90" s="27" t="str">
        <f t="shared" si="3"/>
        <v>Returning</v>
      </c>
      <c r="G90" s="28" t="s">
        <v>135</v>
      </c>
      <c r="H90" s="28" t="s">
        <v>288</v>
      </c>
      <c r="I90" s="28" t="s">
        <v>156</v>
      </c>
      <c r="J90" s="28" t="s">
        <v>157</v>
      </c>
      <c r="K90" s="29">
        <v>1</v>
      </c>
      <c r="L90" s="28" t="s">
        <v>223</v>
      </c>
      <c r="M90" s="28" t="s">
        <v>128</v>
      </c>
      <c r="N90" s="28" t="s">
        <v>188</v>
      </c>
      <c r="O90" s="28" t="s">
        <v>130</v>
      </c>
      <c r="P90" s="28" t="str">
        <f t="shared" si="4"/>
        <v/>
      </c>
      <c r="Q90" s="29">
        <v>4</v>
      </c>
      <c r="R90" s="29">
        <v>33</v>
      </c>
      <c r="S90" s="28"/>
      <c r="T90" s="30" t="str">
        <f>_xlfn.CONCAT(Table5[[#This Row],[OrderID]]," | ",Table5[[#This Row],[City]]," | ",Table5[[#This Row],[ItemName]])</f>
        <v>ORD-1088 | Kathmandu | Chicken Manchurian</v>
      </c>
      <c r="U90" s="30" t="str">
        <f>UPPER(Table5[[#This Row],[City]])</f>
        <v>KATHMANDU</v>
      </c>
      <c r="V90" s="30" t="str">
        <f>LOWER(Table5[[#This Row],[PaymentMethod]])</f>
        <v>esewa</v>
      </c>
      <c r="W90" s="30" cm="1">
        <f t="array" ref="W90">_xlfn.XLOOKUP(TRIM(Table5[[#This Row],[ItemName]]), TRIM(Menu_Price_List_tbl[ItemName]),Menu_Price_List_tbl[UnitPrice_NPR])</f>
        <v>320</v>
      </c>
      <c r="X90" s="31">
        <f t="shared" si="5"/>
        <v>320</v>
      </c>
      <c r="Y90" s="30">
        <f>_xlfn.XLOOKUP(Table5[[#This Row],[City]],City_Delivery_Fee_tbl[City],City_Delivery_Fee_tbl[BaseDeliveryFee_NPR])</f>
        <v>50</v>
      </c>
      <c r="Z9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32</v>
      </c>
      <c r="AA90" s="31">
        <f>Table5[[#This Row],[Order Amount]]+Table5[[#This Row],[Delivery Fee]]-Table5[[#This Row],[Discount Amount]]</f>
        <v>338</v>
      </c>
      <c r="AB90" s="30" t="str">
        <f>_xlfn.XLOOKUP(Table5[[#This Row],[RiderID]], Rider_Directory!$F$2:$F$26, Rider_Directory!$B$2:$B$26)</f>
        <v>Kathmandu</v>
      </c>
      <c r="AC90" s="30" t="str" cm="1">
        <f t="array" ref="AC90">_xlfn.IFS(Table5[[#This Row],[Final Amount]]&lt;500, "Small", Table5[[#This Row],[Final Amount]]&lt;=1000, "Medium", Table5[[#This Row],[Final Amount]]&gt;1000, "Large")</f>
        <v>Small</v>
      </c>
      <c r="AD90" s="30" t="str">
        <f>_xlfn.LET(_xlpm.expiry,_xlfn.XLOOKUP(Table5[[#This Row],[PromoCode]],Promo_Codes!$A$2:$A$9,Promo_Codes!$F$2:$F$9,DATE(2099,1,1)),IF(Table5[[#This Row],[OrderDate]]&gt;_xlpm.expiry,"Expired Code Used","Valid"))</f>
        <v>Valid</v>
      </c>
    </row>
    <row r="91" spans="1:30" x14ac:dyDescent="0.3">
      <c r="A91" s="28" t="s">
        <v>754</v>
      </c>
      <c r="B91" s="27">
        <v>45948</v>
      </c>
      <c r="C91" s="28" t="s">
        <v>672</v>
      </c>
      <c r="D91" s="28" t="s">
        <v>1201</v>
      </c>
      <c r="E91" s="27">
        <v>45947</v>
      </c>
      <c r="F91" s="27" t="str">
        <f t="shared" si="3"/>
        <v>New</v>
      </c>
      <c r="G91" s="28" t="s">
        <v>206</v>
      </c>
      <c r="H91" s="28" t="s">
        <v>331</v>
      </c>
      <c r="I91" s="28" t="s">
        <v>164</v>
      </c>
      <c r="J91" s="28" t="s">
        <v>756</v>
      </c>
      <c r="K91" s="29">
        <v>2</v>
      </c>
      <c r="L91" s="28" t="s">
        <v>358</v>
      </c>
      <c r="M91" s="28" t="s">
        <v>128</v>
      </c>
      <c r="N91" s="28" t="s">
        <v>188</v>
      </c>
      <c r="O91" s="28" t="s">
        <v>130</v>
      </c>
      <c r="P91" s="28" t="str">
        <f t="shared" si="4"/>
        <v/>
      </c>
      <c r="Q91" s="29">
        <v>4</v>
      </c>
      <c r="R91" s="29">
        <v>35</v>
      </c>
      <c r="S91" s="28" t="s">
        <v>364</v>
      </c>
      <c r="T91" s="30" t="str">
        <f>_xlfn.CONCAT(Table5[[#This Row],[OrderID]]," | ",Table5[[#This Row],[City]]," | ",Table5[[#This Row],[ItemName]])</f>
        <v xml:space="preserve">ORD-1089 | Pokhara | Milk Tea  </v>
      </c>
      <c r="U91" s="30" t="str">
        <f>UPPER(Table5[[#This Row],[City]])</f>
        <v>POKHARA</v>
      </c>
      <c r="V91" s="30" t="str">
        <f>LOWER(Table5[[#This Row],[PaymentMethod]])</f>
        <v>esewa</v>
      </c>
      <c r="W91" s="30" cm="1">
        <f t="array" ref="W91">_xlfn.XLOOKUP(TRIM(Table5[[#This Row],[ItemName]]), TRIM(Menu_Price_List_tbl[ItemName]),Menu_Price_List_tbl[UnitPrice_NPR])</f>
        <v>60</v>
      </c>
      <c r="X91" s="31">
        <f t="shared" si="5"/>
        <v>120</v>
      </c>
      <c r="Y91" s="30">
        <f>_xlfn.XLOOKUP(Table5[[#This Row],[City]],City_Delivery_Fee_tbl[City],City_Delivery_Fee_tbl[BaseDeliveryFee_NPR])</f>
        <v>70</v>
      </c>
      <c r="Z9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12</v>
      </c>
      <c r="AA91" s="31">
        <f>Table5[[#This Row],[Order Amount]]+Table5[[#This Row],[Delivery Fee]]-Table5[[#This Row],[Discount Amount]]</f>
        <v>178</v>
      </c>
      <c r="AB91" s="30" t="str">
        <f>_xlfn.XLOOKUP(Table5[[#This Row],[RiderID]], Rider_Directory!$F$2:$F$26, Rider_Directory!$B$2:$B$26)</f>
        <v>Pokhara</v>
      </c>
      <c r="AC91" s="30" t="str" cm="1">
        <f t="array" ref="AC91">_xlfn.IFS(Table5[[#This Row],[Final Amount]]&lt;500, "Small", Table5[[#This Row],[Final Amount]]&lt;=1000, "Medium", Table5[[#This Row],[Final Amount]]&gt;1000, "Large")</f>
        <v>Small</v>
      </c>
      <c r="AD91" s="30" t="str">
        <f>_xlfn.LET(_xlpm.expiry,_xlfn.XLOOKUP(Table5[[#This Row],[PromoCode]],Promo_Codes!$A$2:$A$9,Promo_Codes!$F$2:$F$9,DATE(2099,1,1)),IF(Table5[[#This Row],[OrderDate]]&gt;_xlpm.expiry,"Expired Code Used","Valid"))</f>
        <v>Valid</v>
      </c>
    </row>
    <row r="92" spans="1:30" x14ac:dyDescent="0.3">
      <c r="A92" s="28" t="s">
        <v>886</v>
      </c>
      <c r="B92" s="27">
        <v>45948</v>
      </c>
      <c r="C92" s="28" t="s">
        <v>257</v>
      </c>
      <c r="D92" s="28" t="s">
        <v>1178</v>
      </c>
      <c r="E92" s="27">
        <v>45947</v>
      </c>
      <c r="F92" s="27" t="str">
        <f t="shared" si="3"/>
        <v>New</v>
      </c>
      <c r="G92" s="28" t="s">
        <v>170</v>
      </c>
      <c r="H92" s="28" t="s">
        <v>146</v>
      </c>
      <c r="I92" s="28" t="s">
        <v>147</v>
      </c>
      <c r="J92" s="28" t="s">
        <v>888</v>
      </c>
      <c r="K92" s="29">
        <v>2</v>
      </c>
      <c r="L92" s="28" t="s">
        <v>158</v>
      </c>
      <c r="M92" s="28" t="s">
        <v>159</v>
      </c>
      <c r="N92" s="28"/>
      <c r="O92" s="28" t="s">
        <v>130</v>
      </c>
      <c r="P92" s="28" t="str">
        <f t="shared" si="4"/>
        <v/>
      </c>
      <c r="Q92" s="29">
        <v>3</v>
      </c>
      <c r="R92" s="29">
        <v>54</v>
      </c>
      <c r="S92" s="28"/>
      <c r="T92" s="30" t="str">
        <f>_xlfn.CONCAT(Table5[[#This Row],[OrderID]]," | ",Table5[[#This Row],[City]]," | ",Table5[[#This Row],[ItemName]])</f>
        <v>ORD-1090 | Butwal |   Barfi (5 pcs)</v>
      </c>
      <c r="U92" s="30" t="str">
        <f>UPPER(Table5[[#This Row],[City]])</f>
        <v>BUTWAL</v>
      </c>
      <c r="V92" s="30" t="str">
        <f>LOWER(Table5[[#This Row],[PaymentMethod]])</f>
        <v>khalti</v>
      </c>
      <c r="W92" s="30" cm="1">
        <f t="array" ref="W92">_xlfn.XLOOKUP(TRIM(Table5[[#This Row],[ItemName]]), TRIM(Menu_Price_List_tbl[ItemName]),Menu_Price_List_tbl[UnitPrice_NPR])</f>
        <v>220</v>
      </c>
      <c r="X92" s="31">
        <f t="shared" si="5"/>
        <v>440</v>
      </c>
      <c r="Y92" s="30">
        <f>_xlfn.XLOOKUP(Table5[[#This Row],[City]],City_Delivery_Fee_tbl[City],City_Delivery_Fee_tbl[BaseDeliveryFee_NPR])</f>
        <v>85</v>
      </c>
      <c r="Z9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92" s="31">
        <f>Table5[[#This Row],[Order Amount]]+Table5[[#This Row],[Delivery Fee]]-Table5[[#This Row],[Discount Amount]]</f>
        <v>525</v>
      </c>
      <c r="AB92" s="30" t="str">
        <f>_xlfn.XLOOKUP(Table5[[#This Row],[RiderID]], Rider_Directory!$F$2:$F$26, Rider_Directory!$B$2:$B$26)</f>
        <v>Butwal</v>
      </c>
      <c r="AC92" s="30" t="str" cm="1">
        <f t="array" ref="AC92">_xlfn.IFS(Table5[[#This Row],[Final Amount]]&lt;500, "Small", Table5[[#This Row],[Final Amount]]&lt;=1000, "Medium", Table5[[#This Row],[Final Amount]]&gt;1000, "Large")</f>
        <v>Medium</v>
      </c>
      <c r="AD92" s="30" t="str">
        <f>_xlfn.LET(_xlpm.expiry,_xlfn.XLOOKUP(Table5[[#This Row],[PromoCode]],Promo_Codes!$A$2:$A$9,Promo_Codes!$F$2:$F$9,DATE(2099,1,1)),IF(Table5[[#This Row],[OrderDate]]&gt;_xlpm.expiry,"Expired Code Used","Valid"))</f>
        <v>Valid</v>
      </c>
    </row>
    <row r="93" spans="1:30" x14ac:dyDescent="0.3">
      <c r="A93" s="28" t="s">
        <v>721</v>
      </c>
      <c r="B93" s="27">
        <v>45948</v>
      </c>
      <c r="C93" s="28" t="s">
        <v>662</v>
      </c>
      <c r="D93" s="28" t="s">
        <v>1246</v>
      </c>
      <c r="E93" s="27">
        <v>45948</v>
      </c>
      <c r="F93" s="27" t="str">
        <f t="shared" si="3"/>
        <v>New</v>
      </c>
      <c r="G93" s="28" t="s">
        <v>206</v>
      </c>
      <c r="H93" s="28" t="s">
        <v>199</v>
      </c>
      <c r="I93" s="28" t="s">
        <v>179</v>
      </c>
      <c r="J93" s="28" t="s">
        <v>723</v>
      </c>
      <c r="K93" s="29">
        <v>3</v>
      </c>
      <c r="L93" s="28" t="s">
        <v>353</v>
      </c>
      <c r="M93" s="28" t="s">
        <v>140</v>
      </c>
      <c r="N93" s="28" t="s">
        <v>188</v>
      </c>
      <c r="O93" s="28" t="s">
        <v>279</v>
      </c>
      <c r="P93" s="28" t="str">
        <f t="shared" si="4"/>
        <v/>
      </c>
      <c r="Q93" s="28"/>
      <c r="R93" s="29">
        <v>50</v>
      </c>
      <c r="S93" s="28"/>
      <c r="T93" s="30" t="str">
        <f>_xlfn.CONCAT(Table5[[#This Row],[OrderID]]," | ",Table5[[#This Row],[City]]," | ",Table5[[#This Row],[ItemName]])</f>
        <v>ORD-1091 | Pokhara |   Veg Fried Rice</v>
      </c>
      <c r="U93" s="30" t="str">
        <f>UPPER(Table5[[#This Row],[City]])</f>
        <v>POKHARA</v>
      </c>
      <c r="V93" s="30" t="str">
        <f>LOWER(Table5[[#This Row],[PaymentMethod]])</f>
        <v>cash on delivery</v>
      </c>
      <c r="W93" s="30" cm="1">
        <f t="array" ref="W93">_xlfn.XLOOKUP(TRIM(Table5[[#This Row],[ItemName]]), TRIM(Menu_Price_List_tbl[ItemName]),Menu_Price_List_tbl[UnitPrice_NPR])</f>
        <v>220</v>
      </c>
      <c r="X93" s="31">
        <f t="shared" si="5"/>
        <v>660</v>
      </c>
      <c r="Y93" s="30">
        <f>_xlfn.XLOOKUP(Table5[[#This Row],[City]],City_Delivery_Fee_tbl[City],City_Delivery_Fee_tbl[BaseDeliveryFee_NPR])</f>
        <v>70</v>
      </c>
      <c r="Z9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66</v>
      </c>
      <c r="AA93" s="31">
        <f>Table5[[#This Row],[Order Amount]]+Table5[[#This Row],[Delivery Fee]]-Table5[[#This Row],[Discount Amount]]</f>
        <v>664</v>
      </c>
      <c r="AB93" s="30" t="str">
        <f>_xlfn.XLOOKUP(Table5[[#This Row],[RiderID]], Rider_Directory!$F$2:$F$26, Rider_Directory!$B$2:$B$26)</f>
        <v>Pokhara</v>
      </c>
      <c r="AC93" s="30" t="str" cm="1">
        <f t="array" ref="AC93">_xlfn.IFS(Table5[[#This Row],[Final Amount]]&lt;500, "Small", Table5[[#This Row],[Final Amount]]&lt;=1000, "Medium", Table5[[#This Row],[Final Amount]]&gt;1000, "Large")</f>
        <v>Medium</v>
      </c>
      <c r="AD93" s="30" t="str">
        <f>_xlfn.LET(_xlpm.expiry,_xlfn.XLOOKUP(Table5[[#This Row],[PromoCode]],Promo_Codes!$A$2:$A$9,Promo_Codes!$F$2:$F$9,DATE(2099,1,1)),IF(Table5[[#This Row],[OrderDate]]&gt;_xlpm.expiry,"Expired Code Used","Valid"))</f>
        <v>Valid</v>
      </c>
    </row>
    <row r="94" spans="1:30" x14ac:dyDescent="0.3">
      <c r="A94" s="28" t="s">
        <v>296</v>
      </c>
      <c r="B94" s="27">
        <v>45949</v>
      </c>
      <c r="C94" s="28" t="s">
        <v>481</v>
      </c>
      <c r="D94" s="28" t="s">
        <v>1176</v>
      </c>
      <c r="E94" s="27">
        <v>45874</v>
      </c>
      <c r="F94" s="27" t="str">
        <f t="shared" si="3"/>
        <v>Returning</v>
      </c>
      <c r="G94" s="28" t="s">
        <v>206</v>
      </c>
      <c r="H94" s="28" t="s">
        <v>178</v>
      </c>
      <c r="I94" s="28" t="s">
        <v>179</v>
      </c>
      <c r="J94" s="28" t="s">
        <v>297</v>
      </c>
      <c r="K94" s="29">
        <v>2</v>
      </c>
      <c r="L94" s="28" t="s">
        <v>298</v>
      </c>
      <c r="M94" s="28" t="s">
        <v>128</v>
      </c>
      <c r="N94" s="28"/>
      <c r="O94" s="28" t="s">
        <v>130</v>
      </c>
      <c r="P94" s="28" t="str">
        <f t="shared" si="4"/>
        <v/>
      </c>
      <c r="Q94" s="29">
        <v>5</v>
      </c>
      <c r="R94" s="29">
        <v>36</v>
      </c>
      <c r="S94" s="28" t="s">
        <v>291</v>
      </c>
      <c r="T94" s="30" t="str">
        <f>_xlfn.CONCAT(Table5[[#This Row],[OrderID]]," | ",Table5[[#This Row],[City]]," | ",Table5[[#This Row],[ItemName]])</f>
        <v>ORD-1092 | Pokhara | Chicken Chowmein</v>
      </c>
      <c r="U94" s="30" t="str">
        <f>UPPER(Table5[[#This Row],[City]])</f>
        <v>POKHARA</v>
      </c>
      <c r="V94" s="30" t="str">
        <f>LOWER(Table5[[#This Row],[PaymentMethod]])</f>
        <v>esewa</v>
      </c>
      <c r="W94" s="30" cm="1">
        <f t="array" ref="W94">_xlfn.XLOOKUP(TRIM(Table5[[#This Row],[ItemName]]), TRIM(Menu_Price_List_tbl[ItemName]),Menu_Price_List_tbl[UnitPrice_NPR])</f>
        <v>250</v>
      </c>
      <c r="X94" s="31">
        <f t="shared" si="5"/>
        <v>500</v>
      </c>
      <c r="Y94" s="30">
        <f>_xlfn.XLOOKUP(Table5[[#This Row],[City]],City_Delivery_Fee_tbl[City],City_Delivery_Fee_tbl[BaseDeliveryFee_NPR])</f>
        <v>70</v>
      </c>
      <c r="Z9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94" s="31">
        <f>Table5[[#This Row],[Order Amount]]+Table5[[#This Row],[Delivery Fee]]-Table5[[#This Row],[Discount Amount]]</f>
        <v>570</v>
      </c>
      <c r="AB94" s="30" t="str">
        <f>_xlfn.XLOOKUP(Table5[[#This Row],[RiderID]], Rider_Directory!$F$2:$F$26, Rider_Directory!$B$2:$B$26)</f>
        <v>Pokhara</v>
      </c>
      <c r="AC94" s="30" t="str" cm="1">
        <f t="array" ref="AC94">_xlfn.IFS(Table5[[#This Row],[Final Amount]]&lt;500, "Small", Table5[[#This Row],[Final Amount]]&lt;=1000, "Medium", Table5[[#This Row],[Final Amount]]&gt;1000, "Large")</f>
        <v>Medium</v>
      </c>
      <c r="AD94" s="30" t="str">
        <f>_xlfn.LET(_xlpm.expiry,_xlfn.XLOOKUP(Table5[[#This Row],[PromoCode]],Promo_Codes!$A$2:$A$9,Promo_Codes!$F$2:$F$9,DATE(2099,1,1)),IF(Table5[[#This Row],[OrderDate]]&gt;_xlpm.expiry,"Expired Code Used","Valid"))</f>
        <v>Valid</v>
      </c>
    </row>
    <row r="95" spans="1:30" x14ac:dyDescent="0.3">
      <c r="A95" s="28" t="s">
        <v>834</v>
      </c>
      <c r="B95" s="27">
        <v>45949</v>
      </c>
      <c r="C95" s="28" t="s">
        <v>988</v>
      </c>
      <c r="D95" s="28" t="s">
        <v>1224</v>
      </c>
      <c r="E95" s="27">
        <v>45701</v>
      </c>
      <c r="F95" s="27" t="str">
        <f t="shared" si="3"/>
        <v>Returning</v>
      </c>
      <c r="G95" s="28" t="s">
        <v>170</v>
      </c>
      <c r="H95" s="28" t="s">
        <v>199</v>
      </c>
      <c r="I95" s="28" t="s">
        <v>179</v>
      </c>
      <c r="J95" s="28" t="s">
        <v>200</v>
      </c>
      <c r="K95" s="29">
        <v>4</v>
      </c>
      <c r="L95" s="28" t="s">
        <v>158</v>
      </c>
      <c r="M95" s="28" t="s">
        <v>278</v>
      </c>
      <c r="N95" s="28" t="s">
        <v>129</v>
      </c>
      <c r="O95" s="28" t="s">
        <v>130</v>
      </c>
      <c r="P95" s="28" t="str">
        <f t="shared" si="4"/>
        <v/>
      </c>
      <c r="Q95" s="29">
        <v>2</v>
      </c>
      <c r="R95" s="29">
        <v>28</v>
      </c>
      <c r="S95" s="28" t="s">
        <v>241</v>
      </c>
      <c r="T95" s="30" t="str">
        <f>_xlfn.CONCAT(Table5[[#This Row],[OrderID]]," | ",Table5[[#This Row],[City]]," | ",Table5[[#This Row],[ItemName]])</f>
        <v>ORD-1093 | Butwal | Chicken Pizza</v>
      </c>
      <c r="U95" s="30" t="str">
        <f>UPPER(Table5[[#This Row],[City]])</f>
        <v>BUTWAL</v>
      </c>
      <c r="V95" s="30" t="str">
        <f>LOWER(Table5[[#This Row],[PaymentMethod]])</f>
        <v>connectips</v>
      </c>
      <c r="W95" s="30" cm="1">
        <f t="array" ref="W95">_xlfn.XLOOKUP(TRIM(Table5[[#This Row],[ItemName]]), TRIM(Menu_Price_List_tbl[ItemName]),Menu_Price_List_tbl[UnitPrice_NPR])</f>
        <v>650</v>
      </c>
      <c r="X95" s="31">
        <f t="shared" si="5"/>
        <v>2600</v>
      </c>
      <c r="Y95" s="30">
        <f>_xlfn.XLOOKUP(Table5[[#This Row],[City]],City_Delivery_Fee_tbl[City],City_Delivery_Fee_tbl[BaseDeliveryFee_NPR])</f>
        <v>85</v>
      </c>
      <c r="Z9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95" s="31">
        <f>Table5[[#This Row],[Order Amount]]+Table5[[#This Row],[Delivery Fee]]-Table5[[#This Row],[Discount Amount]]</f>
        <v>2585</v>
      </c>
      <c r="AB95" s="30" t="str">
        <f>_xlfn.XLOOKUP(Table5[[#This Row],[RiderID]], Rider_Directory!$F$2:$F$26, Rider_Directory!$B$2:$B$26)</f>
        <v>Butwal</v>
      </c>
      <c r="AC95" s="30" t="str" cm="1">
        <f t="array" ref="AC95">_xlfn.IFS(Table5[[#This Row],[Final Amount]]&lt;500, "Small", Table5[[#This Row],[Final Amount]]&lt;=1000, "Medium", Table5[[#This Row],[Final Amount]]&gt;1000, "Large")</f>
        <v>Large</v>
      </c>
      <c r="AD95" s="30" t="str">
        <f>_xlfn.LET(_xlpm.expiry,_xlfn.XLOOKUP(Table5[[#This Row],[PromoCode]],Promo_Codes!$A$2:$A$9,Promo_Codes!$F$2:$F$9,DATE(2099,1,1)),IF(Table5[[#This Row],[OrderDate]]&gt;_xlpm.expiry,"Expired Code Used","Valid"))</f>
        <v>Expired Code Used</v>
      </c>
    </row>
    <row r="96" spans="1:30" x14ac:dyDescent="0.3">
      <c r="A96" s="28" t="s">
        <v>460</v>
      </c>
      <c r="B96" s="27">
        <v>45949</v>
      </c>
      <c r="C96" s="28" t="s">
        <v>253</v>
      </c>
      <c r="D96" s="28" t="s">
        <v>1177</v>
      </c>
      <c r="E96" s="27">
        <v>45885</v>
      </c>
      <c r="F96" s="27" t="str">
        <f t="shared" si="3"/>
        <v>Returning</v>
      </c>
      <c r="G96" s="28" t="s">
        <v>259</v>
      </c>
      <c r="H96" s="28" t="s">
        <v>339</v>
      </c>
      <c r="I96" s="28" t="s">
        <v>233</v>
      </c>
      <c r="J96" s="28" t="s">
        <v>276</v>
      </c>
      <c r="K96" s="29">
        <v>3</v>
      </c>
      <c r="L96" s="28" t="s">
        <v>260</v>
      </c>
      <c r="M96" s="28" t="s">
        <v>159</v>
      </c>
      <c r="N96" s="28" t="s">
        <v>188</v>
      </c>
      <c r="O96" s="28" t="s">
        <v>130</v>
      </c>
      <c r="P96" s="28" t="str">
        <f t="shared" si="4"/>
        <v/>
      </c>
      <c r="Q96" s="29">
        <v>5</v>
      </c>
      <c r="R96" s="29">
        <v>36</v>
      </c>
      <c r="S96" s="28"/>
      <c r="T96" s="30" t="str">
        <f>_xlfn.CONCAT(Table5[[#This Row],[OrderID]]," | ",Table5[[#This Row],[City]]," | ",Table5[[#This Row],[ItemName]])</f>
        <v>ORD-1094 | Dharan | Chicken Momo (Steamed)</v>
      </c>
      <c r="U96" s="30" t="str">
        <f>UPPER(Table5[[#This Row],[City]])</f>
        <v>DHARAN</v>
      </c>
      <c r="V96" s="30" t="str">
        <f>LOWER(Table5[[#This Row],[PaymentMethod]])</f>
        <v>khalti</v>
      </c>
      <c r="W96" s="30" cm="1">
        <f t="array" ref="W96">_xlfn.XLOOKUP(TRIM(Table5[[#This Row],[ItemName]]), TRIM(Menu_Price_List_tbl[ItemName]),Menu_Price_List_tbl[UnitPrice_NPR])</f>
        <v>190</v>
      </c>
      <c r="X96" s="31">
        <f t="shared" si="5"/>
        <v>570</v>
      </c>
      <c r="Y96" s="30">
        <f>_xlfn.XLOOKUP(Table5[[#This Row],[City]],City_Delivery_Fee_tbl[City],City_Delivery_Fee_tbl[BaseDeliveryFee_NPR])</f>
        <v>95</v>
      </c>
      <c r="Z9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57</v>
      </c>
      <c r="AA96" s="31">
        <f>Table5[[#This Row],[Order Amount]]+Table5[[#This Row],[Delivery Fee]]-Table5[[#This Row],[Discount Amount]]</f>
        <v>608</v>
      </c>
      <c r="AB96" s="30" t="str">
        <f>_xlfn.XLOOKUP(Table5[[#This Row],[RiderID]], Rider_Directory!$F$2:$F$26, Rider_Directory!$B$2:$B$26)</f>
        <v>Dharan</v>
      </c>
      <c r="AC96" s="30" t="str" cm="1">
        <f t="array" ref="AC96">_xlfn.IFS(Table5[[#This Row],[Final Amount]]&lt;500, "Small", Table5[[#This Row],[Final Amount]]&lt;=1000, "Medium", Table5[[#This Row],[Final Amount]]&gt;1000, "Large")</f>
        <v>Medium</v>
      </c>
      <c r="AD96" s="30" t="str">
        <f>_xlfn.LET(_xlpm.expiry,_xlfn.XLOOKUP(Table5[[#This Row],[PromoCode]],Promo_Codes!$A$2:$A$9,Promo_Codes!$F$2:$F$9,DATE(2099,1,1)),IF(Table5[[#This Row],[OrderDate]]&gt;_xlpm.expiry,"Expired Code Used","Valid"))</f>
        <v>Valid</v>
      </c>
    </row>
    <row r="97" spans="1:30" x14ac:dyDescent="0.3">
      <c r="A97" s="28" t="s">
        <v>842</v>
      </c>
      <c r="B97" s="27">
        <v>45950</v>
      </c>
      <c r="C97" s="28" t="s">
        <v>561</v>
      </c>
      <c r="D97" s="28" t="s">
        <v>1231</v>
      </c>
      <c r="E97" s="27">
        <v>45886</v>
      </c>
      <c r="F97" s="27" t="str">
        <f t="shared" si="3"/>
        <v>Returning</v>
      </c>
      <c r="G97" s="28" t="s">
        <v>135</v>
      </c>
      <c r="H97" s="28" t="s">
        <v>155</v>
      </c>
      <c r="I97" s="28" t="s">
        <v>156</v>
      </c>
      <c r="J97" s="28" t="s">
        <v>389</v>
      </c>
      <c r="K97" s="29">
        <v>1</v>
      </c>
      <c r="L97" s="28" t="s">
        <v>277</v>
      </c>
      <c r="M97" s="28" t="s">
        <v>140</v>
      </c>
      <c r="N97" s="28" t="s">
        <v>240</v>
      </c>
      <c r="O97" s="28" t="s">
        <v>130</v>
      </c>
      <c r="P97" s="28" t="str">
        <f t="shared" si="4"/>
        <v/>
      </c>
      <c r="Q97" s="29">
        <v>4</v>
      </c>
      <c r="R97" s="29">
        <v>27</v>
      </c>
      <c r="S97" s="28" t="s">
        <v>302</v>
      </c>
      <c r="T97" s="30" t="str">
        <f>_xlfn.CONCAT(Table5[[#This Row],[OrderID]]," | ",Table5[[#This Row],[City]]," | ",Table5[[#This Row],[ItemName]])</f>
        <v>ORD-1095 | Kathmandu | Veg Chopsuey</v>
      </c>
      <c r="U97" s="30" t="str">
        <f>UPPER(Table5[[#This Row],[City]])</f>
        <v>KATHMANDU</v>
      </c>
      <c r="V97" s="30" t="str">
        <f>LOWER(Table5[[#This Row],[PaymentMethod]])</f>
        <v>cash on delivery</v>
      </c>
      <c r="W97" s="30" cm="1">
        <f t="array" ref="W97">_xlfn.XLOOKUP(TRIM(Table5[[#This Row],[ItemName]]), TRIM(Menu_Price_List_tbl[ItemName]),Menu_Price_List_tbl[UnitPrice_NPR])</f>
        <v>260</v>
      </c>
      <c r="X97" s="31">
        <f t="shared" si="5"/>
        <v>260</v>
      </c>
      <c r="Y97" s="30">
        <f>_xlfn.XLOOKUP(Table5[[#This Row],[City]],City_Delivery_Fee_tbl[City],City_Delivery_Fee_tbl[BaseDeliveryFee_NPR])</f>
        <v>50</v>
      </c>
      <c r="Z9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52</v>
      </c>
      <c r="AA97" s="31">
        <f>Table5[[#This Row],[Order Amount]]+Table5[[#This Row],[Delivery Fee]]-Table5[[#This Row],[Discount Amount]]</f>
        <v>258</v>
      </c>
      <c r="AB97" s="30" t="str">
        <f>_xlfn.XLOOKUP(Table5[[#This Row],[RiderID]], Rider_Directory!$F$2:$F$26, Rider_Directory!$B$2:$B$26)</f>
        <v>Kathmandu</v>
      </c>
      <c r="AC97" s="30" t="str" cm="1">
        <f t="array" ref="AC97">_xlfn.IFS(Table5[[#This Row],[Final Amount]]&lt;500, "Small", Table5[[#This Row],[Final Amount]]&lt;=1000, "Medium", Table5[[#This Row],[Final Amount]]&gt;1000, "Large")</f>
        <v>Small</v>
      </c>
      <c r="AD97" s="30" t="str">
        <f>_xlfn.LET(_xlpm.expiry,_xlfn.XLOOKUP(Table5[[#This Row],[PromoCode]],Promo_Codes!$A$2:$A$9,Promo_Codes!$F$2:$F$9,DATE(2099,1,1)),IF(Table5[[#This Row],[OrderDate]]&gt;_xlpm.expiry,"Expired Code Used","Valid"))</f>
        <v>Valid</v>
      </c>
    </row>
    <row r="98" spans="1:30" x14ac:dyDescent="0.3">
      <c r="A98" s="28" t="s">
        <v>383</v>
      </c>
      <c r="B98" s="27">
        <v>45950</v>
      </c>
      <c r="C98" s="28" t="s">
        <v>384</v>
      </c>
      <c r="D98" s="28" t="s">
        <v>1199</v>
      </c>
      <c r="E98" s="27">
        <v>45948</v>
      </c>
      <c r="F98" s="27" t="str">
        <f t="shared" si="3"/>
        <v>New</v>
      </c>
      <c r="G98" s="28" t="s">
        <v>198</v>
      </c>
      <c r="H98" s="28" t="s">
        <v>192</v>
      </c>
      <c r="I98" s="28" t="s">
        <v>137</v>
      </c>
      <c r="J98" s="28" t="s">
        <v>138</v>
      </c>
      <c r="K98" s="29">
        <v>2</v>
      </c>
      <c r="L98" s="28" t="s">
        <v>201</v>
      </c>
      <c r="M98" s="28" t="s">
        <v>128</v>
      </c>
      <c r="N98" s="28"/>
      <c r="O98" s="28" t="s">
        <v>130</v>
      </c>
      <c r="P98" s="28" t="str">
        <f t="shared" si="4"/>
        <v/>
      </c>
      <c r="Q98" s="29">
        <v>5</v>
      </c>
      <c r="R98" s="29">
        <v>36</v>
      </c>
      <c r="S98" s="28"/>
      <c r="T98" s="30" t="str">
        <f>_xlfn.CONCAT(Table5[[#This Row],[OrderID]]," | ",Table5[[#This Row],[City]]," | ",Table5[[#This Row],[ItemName]])</f>
        <v>ORD-1096 | Lalitpur | Chicken Thakali Set</v>
      </c>
      <c r="U98" s="30" t="str">
        <f>UPPER(Table5[[#This Row],[City]])</f>
        <v>LALITPUR</v>
      </c>
      <c r="V98" s="30" t="str">
        <f>LOWER(Table5[[#This Row],[PaymentMethod]])</f>
        <v>esewa</v>
      </c>
      <c r="W98" s="30" cm="1">
        <f t="array" ref="W98">_xlfn.XLOOKUP(TRIM(Table5[[#This Row],[ItemName]]), TRIM(Menu_Price_List_tbl[ItemName]),Menu_Price_List_tbl[UnitPrice_NPR])</f>
        <v>480</v>
      </c>
      <c r="X98" s="31">
        <f t="shared" si="5"/>
        <v>960</v>
      </c>
      <c r="Y98" s="30">
        <f>_xlfn.XLOOKUP(Table5[[#This Row],[City]],City_Delivery_Fee_tbl[City],City_Delivery_Fee_tbl[BaseDeliveryFee_NPR])</f>
        <v>50</v>
      </c>
      <c r="Z9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98" s="31">
        <f>Table5[[#This Row],[Order Amount]]+Table5[[#This Row],[Delivery Fee]]-Table5[[#This Row],[Discount Amount]]</f>
        <v>1010</v>
      </c>
      <c r="AB98" s="30" t="str">
        <f>_xlfn.XLOOKUP(Table5[[#This Row],[RiderID]], Rider_Directory!$F$2:$F$26, Rider_Directory!$B$2:$B$26)</f>
        <v>Lalitpur</v>
      </c>
      <c r="AC98" s="30" t="str" cm="1">
        <f t="array" ref="AC98">_xlfn.IFS(Table5[[#This Row],[Final Amount]]&lt;500, "Small", Table5[[#This Row],[Final Amount]]&lt;=1000, "Medium", Table5[[#This Row],[Final Amount]]&gt;1000, "Large")</f>
        <v>Large</v>
      </c>
      <c r="AD98" s="30" t="str">
        <f>_xlfn.LET(_xlpm.expiry,_xlfn.XLOOKUP(Table5[[#This Row],[PromoCode]],Promo_Codes!$A$2:$A$9,Promo_Codes!$F$2:$F$9,DATE(2099,1,1)),IF(Table5[[#This Row],[OrderDate]]&gt;_xlpm.expiry,"Expired Code Used","Valid"))</f>
        <v>Valid</v>
      </c>
    </row>
    <row r="99" spans="1:30" x14ac:dyDescent="0.3">
      <c r="A99" s="28" t="s">
        <v>365</v>
      </c>
      <c r="B99" s="27">
        <v>45950</v>
      </c>
      <c r="C99" s="28" t="s">
        <v>210</v>
      </c>
      <c r="D99" s="28" t="s">
        <v>1170</v>
      </c>
      <c r="E99" s="27">
        <v>45880</v>
      </c>
      <c r="F99" s="27" t="str">
        <f t="shared" si="3"/>
        <v>Returning</v>
      </c>
      <c r="G99" s="28" t="s">
        <v>123</v>
      </c>
      <c r="H99" s="28" t="s">
        <v>199</v>
      </c>
      <c r="I99" s="28" t="s">
        <v>179</v>
      </c>
      <c r="J99" s="28" t="s">
        <v>368</v>
      </c>
      <c r="K99" s="29">
        <v>2</v>
      </c>
      <c r="L99" s="28" t="s">
        <v>166</v>
      </c>
      <c r="M99" s="28" t="s">
        <v>159</v>
      </c>
      <c r="N99" s="28"/>
      <c r="O99" s="28" t="s">
        <v>235</v>
      </c>
      <c r="P99" s="28" t="str">
        <f t="shared" si="4"/>
        <v/>
      </c>
      <c r="Q99" s="28"/>
      <c r="R99" s="29">
        <v>40</v>
      </c>
      <c r="S99" s="28"/>
      <c r="T99" s="30" t="str">
        <f>_xlfn.CONCAT(Table5[[#This Row],[OrderID]]," | ",Table5[[#This Row],[City]]," | ",Table5[[#This Row],[ItemName]])</f>
        <v>ORD-1097 | Biratnagar | Veg Burger</v>
      </c>
      <c r="U99" s="30" t="str">
        <f>UPPER(Table5[[#This Row],[City]])</f>
        <v>BIRATNAGAR</v>
      </c>
      <c r="V99" s="30" t="str">
        <f>LOWER(Table5[[#This Row],[PaymentMethod]])</f>
        <v>khalti</v>
      </c>
      <c r="W99" s="30" cm="1">
        <f t="array" ref="W99">_xlfn.XLOOKUP(TRIM(Table5[[#This Row],[ItemName]]), TRIM(Menu_Price_List_tbl[ItemName]),Menu_Price_List_tbl[UnitPrice_NPR])</f>
        <v>220</v>
      </c>
      <c r="X99" s="31">
        <f t="shared" si="5"/>
        <v>440</v>
      </c>
      <c r="Y99" s="30">
        <f>_xlfn.XLOOKUP(Table5[[#This Row],[City]],City_Delivery_Fee_tbl[City],City_Delivery_Fee_tbl[BaseDeliveryFee_NPR])</f>
        <v>90</v>
      </c>
      <c r="Z9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99" s="31">
        <f>Table5[[#This Row],[Order Amount]]+Table5[[#This Row],[Delivery Fee]]-Table5[[#This Row],[Discount Amount]]</f>
        <v>530</v>
      </c>
      <c r="AB99" s="30" t="str">
        <f>_xlfn.XLOOKUP(Table5[[#This Row],[RiderID]], Rider_Directory!$F$2:$F$26, Rider_Directory!$B$2:$B$26)</f>
        <v>Biratnagar</v>
      </c>
      <c r="AC99" s="30" t="str" cm="1">
        <f t="array" ref="AC99">_xlfn.IFS(Table5[[#This Row],[Final Amount]]&lt;500, "Small", Table5[[#This Row],[Final Amount]]&lt;=1000, "Medium", Table5[[#This Row],[Final Amount]]&gt;1000, "Large")</f>
        <v>Medium</v>
      </c>
      <c r="AD99" s="30" t="str">
        <f>_xlfn.LET(_xlpm.expiry,_xlfn.XLOOKUP(Table5[[#This Row],[PromoCode]],Promo_Codes!$A$2:$A$9,Promo_Codes!$F$2:$F$9,DATE(2099,1,1)),IF(Table5[[#This Row],[OrderDate]]&gt;_xlpm.expiry,"Expired Code Used","Valid"))</f>
        <v>Valid</v>
      </c>
    </row>
    <row r="100" spans="1:30" x14ac:dyDescent="0.3">
      <c r="A100" s="28" t="s">
        <v>415</v>
      </c>
      <c r="B100" s="27">
        <v>45951</v>
      </c>
      <c r="C100" s="28" t="s">
        <v>416</v>
      </c>
      <c r="D100" s="28" t="s">
        <v>1205</v>
      </c>
      <c r="E100" s="27">
        <v>45871</v>
      </c>
      <c r="F100" s="27" t="str">
        <f t="shared" si="3"/>
        <v>Returning</v>
      </c>
      <c r="G100" s="28" t="s">
        <v>135</v>
      </c>
      <c r="H100" s="28" t="s">
        <v>146</v>
      </c>
      <c r="I100" s="28" t="s">
        <v>147</v>
      </c>
      <c r="J100" s="28" t="s">
        <v>148</v>
      </c>
      <c r="K100" s="29">
        <v>4</v>
      </c>
      <c r="L100" s="28" t="s">
        <v>265</v>
      </c>
      <c r="M100" s="28" t="s">
        <v>128</v>
      </c>
      <c r="N100" s="28" t="s">
        <v>188</v>
      </c>
      <c r="O100" s="28" t="s">
        <v>130</v>
      </c>
      <c r="P100" s="28" t="str">
        <f t="shared" si="4"/>
        <v/>
      </c>
      <c r="Q100" s="29">
        <v>4</v>
      </c>
      <c r="R100" s="29">
        <v>30</v>
      </c>
      <c r="S100" s="28" t="s">
        <v>302</v>
      </c>
      <c r="T100" s="30" t="str">
        <f>_xlfn.CONCAT(Table5[[#This Row],[OrderID]]," | ",Table5[[#This Row],[City]]," | ",Table5[[#This Row],[ItemName]])</f>
        <v>ORD-1098 | Kathmandu | Barfi (5 pcs)</v>
      </c>
      <c r="U100" s="30" t="str">
        <f>UPPER(Table5[[#This Row],[City]])</f>
        <v>KATHMANDU</v>
      </c>
      <c r="V100" s="30" t="str">
        <f>LOWER(Table5[[#This Row],[PaymentMethod]])</f>
        <v>esewa</v>
      </c>
      <c r="W100" s="30" cm="1">
        <f t="array" ref="W100">_xlfn.XLOOKUP(TRIM(Table5[[#This Row],[ItemName]]), TRIM(Menu_Price_List_tbl[ItemName]),Menu_Price_List_tbl[UnitPrice_NPR])</f>
        <v>220</v>
      </c>
      <c r="X100" s="31">
        <f t="shared" si="5"/>
        <v>880</v>
      </c>
      <c r="Y100" s="30">
        <f>_xlfn.XLOOKUP(Table5[[#This Row],[City]],City_Delivery_Fee_tbl[City],City_Delivery_Fee_tbl[BaseDeliveryFee_NPR])</f>
        <v>50</v>
      </c>
      <c r="Z10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88</v>
      </c>
      <c r="AA100" s="31">
        <f>Table5[[#This Row],[Order Amount]]+Table5[[#This Row],[Delivery Fee]]-Table5[[#This Row],[Discount Amount]]</f>
        <v>842</v>
      </c>
      <c r="AB100" s="30" t="str">
        <f>_xlfn.XLOOKUP(Table5[[#This Row],[RiderID]], Rider_Directory!$F$2:$F$26, Rider_Directory!$B$2:$B$26)</f>
        <v>Kathmandu</v>
      </c>
      <c r="AC100" s="30" t="str" cm="1">
        <f t="array" ref="AC100">_xlfn.IFS(Table5[[#This Row],[Final Amount]]&lt;500, "Small", Table5[[#This Row],[Final Amount]]&lt;=1000, "Medium", Table5[[#This Row],[Final Amount]]&gt;1000, "Large")</f>
        <v>Medium</v>
      </c>
      <c r="AD100" s="30" t="str">
        <f>_xlfn.LET(_xlpm.expiry,_xlfn.XLOOKUP(Table5[[#This Row],[PromoCode]],Promo_Codes!$A$2:$A$9,Promo_Codes!$F$2:$F$9,DATE(2099,1,1)),IF(Table5[[#This Row],[OrderDate]]&gt;_xlpm.expiry,"Expired Code Used","Valid"))</f>
        <v>Valid</v>
      </c>
    </row>
    <row r="101" spans="1:30" x14ac:dyDescent="0.3">
      <c r="A101" s="28" t="s">
        <v>1039</v>
      </c>
      <c r="B101" s="27">
        <v>45951</v>
      </c>
      <c r="C101" s="28" t="s">
        <v>705</v>
      </c>
      <c r="D101" s="28" t="s">
        <v>1253</v>
      </c>
      <c r="E101" s="27">
        <v>45898</v>
      </c>
      <c r="F101" s="27" t="str">
        <f t="shared" si="3"/>
        <v>Returning</v>
      </c>
      <c r="G101" s="28" t="s">
        <v>198</v>
      </c>
      <c r="H101" s="28" t="s">
        <v>538</v>
      </c>
      <c r="I101" s="28" t="s">
        <v>351</v>
      </c>
      <c r="J101" s="28" t="s">
        <v>638</v>
      </c>
      <c r="K101" s="29">
        <v>1</v>
      </c>
      <c r="L101" s="28" t="s">
        <v>213</v>
      </c>
      <c r="M101" s="28" t="s">
        <v>128</v>
      </c>
      <c r="N101" s="28" t="s">
        <v>188</v>
      </c>
      <c r="O101" s="28" t="s">
        <v>130</v>
      </c>
      <c r="P101" s="28" t="str">
        <f t="shared" si="4"/>
        <v/>
      </c>
      <c r="Q101" s="29">
        <v>5</v>
      </c>
      <c r="R101" s="29">
        <v>24</v>
      </c>
      <c r="S101" s="28" t="s">
        <v>364</v>
      </c>
      <c r="T101" s="30" t="str">
        <f>_xlfn.CONCAT(Table5[[#This Row],[OrderID]]," | ",Table5[[#This Row],[City]]," | ",Table5[[#This Row],[ItemName]])</f>
        <v>ORD-1099 | Lalitpur | Chicken Sekuwa</v>
      </c>
      <c r="U101" s="30" t="str">
        <f>UPPER(Table5[[#This Row],[City]])</f>
        <v>LALITPUR</v>
      </c>
      <c r="V101" s="30" t="str">
        <f>LOWER(Table5[[#This Row],[PaymentMethod]])</f>
        <v>esewa</v>
      </c>
      <c r="W101" s="30" cm="1">
        <f t="array" ref="W101">_xlfn.XLOOKUP(TRIM(Table5[[#This Row],[ItemName]]), TRIM(Menu_Price_List_tbl[ItemName]),Menu_Price_List_tbl[UnitPrice_NPR])</f>
        <v>420</v>
      </c>
      <c r="X101" s="31">
        <f t="shared" si="5"/>
        <v>420</v>
      </c>
      <c r="Y101" s="30">
        <f>_xlfn.XLOOKUP(Table5[[#This Row],[City]],City_Delivery_Fee_tbl[City],City_Delivery_Fee_tbl[BaseDeliveryFee_NPR])</f>
        <v>50</v>
      </c>
      <c r="Z10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42</v>
      </c>
      <c r="AA101" s="31">
        <f>Table5[[#This Row],[Order Amount]]+Table5[[#This Row],[Delivery Fee]]-Table5[[#This Row],[Discount Amount]]</f>
        <v>428</v>
      </c>
      <c r="AB101" s="30" t="str">
        <f>_xlfn.XLOOKUP(Table5[[#This Row],[RiderID]], Rider_Directory!$F$2:$F$26, Rider_Directory!$B$2:$B$26)</f>
        <v>Lalitpur</v>
      </c>
      <c r="AC101" s="30" t="str" cm="1">
        <f t="array" ref="AC101">_xlfn.IFS(Table5[[#This Row],[Final Amount]]&lt;500, "Small", Table5[[#This Row],[Final Amount]]&lt;=1000, "Medium", Table5[[#This Row],[Final Amount]]&gt;1000, "Large")</f>
        <v>Small</v>
      </c>
      <c r="AD101" s="30" t="str">
        <f>_xlfn.LET(_xlpm.expiry,_xlfn.XLOOKUP(Table5[[#This Row],[PromoCode]],Promo_Codes!$A$2:$A$9,Promo_Codes!$F$2:$F$9,DATE(2099,1,1)),IF(Table5[[#This Row],[OrderDate]]&gt;_xlpm.expiry,"Expired Code Used","Valid"))</f>
        <v>Valid</v>
      </c>
    </row>
    <row r="102" spans="1:30" x14ac:dyDescent="0.3">
      <c r="A102" s="28" t="s">
        <v>749</v>
      </c>
      <c r="B102" s="27">
        <v>45951</v>
      </c>
      <c r="C102" s="28" t="s">
        <v>750</v>
      </c>
      <c r="D102" s="28" t="s">
        <v>1261</v>
      </c>
      <c r="E102" s="27">
        <v>45880</v>
      </c>
      <c r="F102" s="27" t="str">
        <f t="shared" si="3"/>
        <v>Returning</v>
      </c>
      <c r="G102" s="28" t="s">
        <v>123</v>
      </c>
      <c r="H102" s="28" t="s">
        <v>171</v>
      </c>
      <c r="I102" s="28" t="s">
        <v>147</v>
      </c>
      <c r="J102" s="28" t="s">
        <v>148</v>
      </c>
      <c r="K102" s="29">
        <v>4</v>
      </c>
      <c r="L102" s="28" t="s">
        <v>166</v>
      </c>
      <c r="M102" s="28" t="s">
        <v>128</v>
      </c>
      <c r="N102" s="28" t="s">
        <v>188</v>
      </c>
      <c r="O102" s="28" t="s">
        <v>279</v>
      </c>
      <c r="P102" s="28" t="str">
        <f t="shared" si="4"/>
        <v/>
      </c>
      <c r="Q102" s="28"/>
      <c r="R102" s="29">
        <v>480</v>
      </c>
      <c r="S102" s="28"/>
      <c r="T102" s="30" t="str">
        <f>_xlfn.CONCAT(Table5[[#This Row],[OrderID]]," | ",Table5[[#This Row],[City]]," | ",Table5[[#This Row],[ItemName]])</f>
        <v>ORD-1100 | Biratnagar | Barfi (5 pcs)</v>
      </c>
      <c r="U102" s="30" t="str">
        <f>UPPER(Table5[[#This Row],[City]])</f>
        <v>BIRATNAGAR</v>
      </c>
      <c r="V102" s="30" t="str">
        <f>LOWER(Table5[[#This Row],[PaymentMethod]])</f>
        <v>esewa</v>
      </c>
      <c r="W102" s="30" cm="1">
        <f t="array" ref="W102">_xlfn.XLOOKUP(TRIM(Table5[[#This Row],[ItemName]]), TRIM(Menu_Price_List_tbl[ItemName]),Menu_Price_List_tbl[UnitPrice_NPR])</f>
        <v>220</v>
      </c>
      <c r="X102" s="31">
        <f t="shared" si="5"/>
        <v>880</v>
      </c>
      <c r="Y102" s="30">
        <f>_xlfn.XLOOKUP(Table5[[#This Row],[City]],City_Delivery_Fee_tbl[City],City_Delivery_Fee_tbl[BaseDeliveryFee_NPR])</f>
        <v>90</v>
      </c>
      <c r="Z10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88</v>
      </c>
      <c r="AA102" s="31">
        <f>Table5[[#This Row],[Order Amount]]+Table5[[#This Row],[Delivery Fee]]-Table5[[#This Row],[Discount Amount]]</f>
        <v>882</v>
      </c>
      <c r="AB102" s="30" t="str">
        <f>_xlfn.XLOOKUP(Table5[[#This Row],[RiderID]], Rider_Directory!$F$2:$F$26, Rider_Directory!$B$2:$B$26)</f>
        <v>Biratnagar</v>
      </c>
      <c r="AC102" s="30" t="str" cm="1">
        <f t="array" ref="AC102">_xlfn.IFS(Table5[[#This Row],[Final Amount]]&lt;500, "Small", Table5[[#This Row],[Final Amount]]&lt;=1000, "Medium", Table5[[#This Row],[Final Amount]]&gt;1000, "Large")</f>
        <v>Medium</v>
      </c>
      <c r="AD102" s="30" t="str">
        <f>_xlfn.LET(_xlpm.expiry,_xlfn.XLOOKUP(Table5[[#This Row],[PromoCode]],Promo_Codes!$A$2:$A$9,Promo_Codes!$F$2:$F$9,DATE(2099,1,1)),IF(Table5[[#This Row],[OrderDate]]&gt;_xlpm.expiry,"Expired Code Used","Valid"))</f>
        <v>Valid</v>
      </c>
    </row>
    <row r="103" spans="1:30" x14ac:dyDescent="0.3">
      <c r="A103" s="28" t="s">
        <v>681</v>
      </c>
      <c r="B103" s="27">
        <v>45951</v>
      </c>
      <c r="C103" s="28" t="s">
        <v>682</v>
      </c>
      <c r="D103" s="28" t="s">
        <v>1249</v>
      </c>
      <c r="E103" s="27">
        <v>45949</v>
      </c>
      <c r="F103" s="27" t="str">
        <f t="shared" si="3"/>
        <v>New</v>
      </c>
      <c r="G103" s="28" t="s">
        <v>135</v>
      </c>
      <c r="H103" s="28" t="s">
        <v>538</v>
      </c>
      <c r="I103" s="28" t="s">
        <v>351</v>
      </c>
      <c r="J103" s="28" t="s">
        <v>352</v>
      </c>
      <c r="K103" s="29">
        <v>3</v>
      </c>
      <c r="L103" s="28" t="s">
        <v>187</v>
      </c>
      <c r="M103" s="28" t="s">
        <v>128</v>
      </c>
      <c r="N103" s="28" t="s">
        <v>188</v>
      </c>
      <c r="O103" s="28" t="s">
        <v>130</v>
      </c>
      <c r="P103" s="28" t="str">
        <f t="shared" si="4"/>
        <v/>
      </c>
      <c r="Q103" s="29">
        <v>5</v>
      </c>
      <c r="R103" s="29">
        <v>42</v>
      </c>
      <c r="S103" s="28" t="s">
        <v>302</v>
      </c>
      <c r="T103" s="30" t="str">
        <f>_xlfn.CONCAT(Table5[[#This Row],[OrderID]]," | ",Table5[[#This Row],[City]]," | ",Table5[[#This Row],[ItemName]])</f>
        <v>ORD-1101 | Kathmandu | Buff Sekuwa</v>
      </c>
      <c r="U103" s="30" t="str">
        <f>UPPER(Table5[[#This Row],[City]])</f>
        <v>KATHMANDU</v>
      </c>
      <c r="V103" s="30" t="str">
        <f>LOWER(Table5[[#This Row],[PaymentMethod]])</f>
        <v>esewa</v>
      </c>
      <c r="W103" s="30" cm="1">
        <f t="array" ref="W103">_xlfn.XLOOKUP(TRIM(Table5[[#This Row],[ItemName]]), TRIM(Menu_Price_List_tbl[ItemName]),Menu_Price_List_tbl[UnitPrice_NPR])</f>
        <v>380</v>
      </c>
      <c r="X103" s="31">
        <f t="shared" si="5"/>
        <v>1140</v>
      </c>
      <c r="Y103" s="30">
        <f>_xlfn.XLOOKUP(Table5[[#This Row],[City]],City_Delivery_Fee_tbl[City],City_Delivery_Fee_tbl[BaseDeliveryFee_NPR])</f>
        <v>50</v>
      </c>
      <c r="Z10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114</v>
      </c>
      <c r="AA103" s="31">
        <f>Table5[[#This Row],[Order Amount]]+Table5[[#This Row],[Delivery Fee]]-Table5[[#This Row],[Discount Amount]]</f>
        <v>1076</v>
      </c>
      <c r="AB103" s="30" t="str">
        <f>_xlfn.XLOOKUP(Table5[[#This Row],[RiderID]], Rider_Directory!$F$2:$F$26, Rider_Directory!$B$2:$B$26)</f>
        <v>Kathmandu</v>
      </c>
      <c r="AC103" s="30" t="str" cm="1">
        <f t="array" ref="AC103">_xlfn.IFS(Table5[[#This Row],[Final Amount]]&lt;500, "Small", Table5[[#This Row],[Final Amount]]&lt;=1000, "Medium", Table5[[#This Row],[Final Amount]]&gt;1000, "Large")</f>
        <v>Large</v>
      </c>
      <c r="AD103" s="30" t="str">
        <f>_xlfn.LET(_xlpm.expiry,_xlfn.XLOOKUP(Table5[[#This Row],[PromoCode]],Promo_Codes!$A$2:$A$9,Promo_Codes!$F$2:$F$9,DATE(2099,1,1)),IF(Table5[[#This Row],[OrderDate]]&gt;_xlpm.expiry,"Expired Code Used","Valid"))</f>
        <v>Valid</v>
      </c>
    </row>
    <row r="104" spans="1:30" x14ac:dyDescent="0.3">
      <c r="A104" s="28" t="s">
        <v>728</v>
      </c>
      <c r="B104" s="27">
        <v>45951</v>
      </c>
      <c r="C104" s="28" t="s">
        <v>729</v>
      </c>
      <c r="D104" s="28" t="s">
        <v>1258</v>
      </c>
      <c r="E104" s="27">
        <v>45951</v>
      </c>
      <c r="F104" s="27" t="str">
        <f t="shared" si="3"/>
        <v>New</v>
      </c>
      <c r="G104" s="28" t="s">
        <v>123</v>
      </c>
      <c r="H104" s="28" t="s">
        <v>136</v>
      </c>
      <c r="I104" s="28" t="s">
        <v>137</v>
      </c>
      <c r="J104" s="28" t="s">
        <v>593</v>
      </c>
      <c r="K104" s="29">
        <v>2</v>
      </c>
      <c r="L104" s="28" t="s">
        <v>290</v>
      </c>
      <c r="M104" s="28" t="s">
        <v>159</v>
      </c>
      <c r="N104" s="28"/>
      <c r="O104" s="28" t="s">
        <v>130</v>
      </c>
      <c r="P104" s="28" t="str">
        <f t="shared" si="4"/>
        <v/>
      </c>
      <c r="Q104" s="29">
        <v>3</v>
      </c>
      <c r="R104" s="29">
        <v>41</v>
      </c>
      <c r="S104" s="28" t="s">
        <v>150</v>
      </c>
      <c r="T104" s="30" t="str">
        <f>_xlfn.CONCAT(Table5[[#This Row],[OrderID]]," | ",Table5[[#This Row],[City]]," | ",Table5[[#This Row],[ItemName]])</f>
        <v>ORD-1102 | Biratnagar | Mutton Thakali Set</v>
      </c>
      <c r="U104" s="30" t="str">
        <f>UPPER(Table5[[#This Row],[City]])</f>
        <v>BIRATNAGAR</v>
      </c>
      <c r="V104" s="30" t="str">
        <f>LOWER(Table5[[#This Row],[PaymentMethod]])</f>
        <v>khalti</v>
      </c>
      <c r="W104" s="30" cm="1">
        <f t="array" ref="W104">_xlfn.XLOOKUP(TRIM(Table5[[#This Row],[ItemName]]), TRIM(Menu_Price_List_tbl[ItemName]),Menu_Price_List_tbl[UnitPrice_NPR])</f>
        <v>650</v>
      </c>
      <c r="X104" s="31">
        <f t="shared" si="5"/>
        <v>1300</v>
      </c>
      <c r="Y104" s="30">
        <f>_xlfn.XLOOKUP(Table5[[#This Row],[City]],City_Delivery_Fee_tbl[City],City_Delivery_Fee_tbl[BaseDeliveryFee_NPR])</f>
        <v>90</v>
      </c>
      <c r="Z10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04" s="31">
        <f>Table5[[#This Row],[Order Amount]]+Table5[[#This Row],[Delivery Fee]]-Table5[[#This Row],[Discount Amount]]</f>
        <v>1390</v>
      </c>
      <c r="AB104" s="30" t="str">
        <f>_xlfn.XLOOKUP(Table5[[#This Row],[RiderID]], Rider_Directory!$F$2:$F$26, Rider_Directory!$B$2:$B$26)</f>
        <v>Biratnagar</v>
      </c>
      <c r="AC104" s="30" t="str" cm="1">
        <f t="array" ref="AC104">_xlfn.IFS(Table5[[#This Row],[Final Amount]]&lt;500, "Small", Table5[[#This Row],[Final Amount]]&lt;=1000, "Medium", Table5[[#This Row],[Final Amount]]&gt;1000, "Large")</f>
        <v>Large</v>
      </c>
      <c r="AD104" s="30" t="str">
        <f>_xlfn.LET(_xlpm.expiry,_xlfn.XLOOKUP(Table5[[#This Row],[PromoCode]],Promo_Codes!$A$2:$A$9,Promo_Codes!$F$2:$F$9,DATE(2099,1,1)),IF(Table5[[#This Row],[OrderDate]]&gt;_xlpm.expiry,"Expired Code Used","Valid"))</f>
        <v>Valid</v>
      </c>
    </row>
    <row r="105" spans="1:30" x14ac:dyDescent="0.3">
      <c r="A105" s="28" t="s">
        <v>261</v>
      </c>
      <c r="B105" s="27">
        <v>45952</v>
      </c>
      <c r="C105" s="28" t="s">
        <v>1154</v>
      </c>
      <c r="D105" s="28" t="s">
        <v>1179</v>
      </c>
      <c r="E105" s="27">
        <v>45873</v>
      </c>
      <c r="F105" s="27" t="str">
        <f t="shared" si="3"/>
        <v>Returning</v>
      </c>
      <c r="G105" s="28" t="s">
        <v>135</v>
      </c>
      <c r="H105" s="28" t="s">
        <v>146</v>
      </c>
      <c r="I105" s="28" t="s">
        <v>147</v>
      </c>
      <c r="J105" s="28" t="s">
        <v>264</v>
      </c>
      <c r="K105" s="29">
        <v>2</v>
      </c>
      <c r="L105" s="28" t="s">
        <v>265</v>
      </c>
      <c r="M105" s="28" t="s">
        <v>159</v>
      </c>
      <c r="N105" s="28"/>
      <c r="O105" s="28" t="s">
        <v>130</v>
      </c>
      <c r="P105" s="28" t="str">
        <f t="shared" si="4"/>
        <v/>
      </c>
      <c r="Q105" s="29">
        <v>4</v>
      </c>
      <c r="R105" s="29">
        <v>31</v>
      </c>
      <c r="S105" s="28"/>
      <c r="T105" s="30" t="str">
        <f>_xlfn.CONCAT(Table5[[#This Row],[OrderID]]," | ",Table5[[#This Row],[City]]," | ",Table5[[#This Row],[ItemName]])</f>
        <v>ORD-1103 | Kathmandu | Cheese Cake Slice</v>
      </c>
      <c r="U105" s="30" t="str">
        <f>UPPER(Table5[[#This Row],[City]])</f>
        <v>KATHMANDU</v>
      </c>
      <c r="V105" s="30" t="str">
        <f>LOWER(Table5[[#This Row],[PaymentMethod]])</f>
        <v>khalti</v>
      </c>
      <c r="W105" s="30" cm="1">
        <f t="array" ref="W105">_xlfn.XLOOKUP(TRIM(Table5[[#This Row],[ItemName]]), TRIM(Menu_Price_List_tbl[ItemName]),Menu_Price_List_tbl[UnitPrice_NPR])</f>
        <v>250</v>
      </c>
      <c r="X105" s="31">
        <f t="shared" si="5"/>
        <v>500</v>
      </c>
      <c r="Y105" s="30">
        <f>_xlfn.XLOOKUP(Table5[[#This Row],[City]],City_Delivery_Fee_tbl[City],City_Delivery_Fee_tbl[BaseDeliveryFee_NPR])</f>
        <v>50</v>
      </c>
      <c r="Z10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05" s="31">
        <f>Table5[[#This Row],[Order Amount]]+Table5[[#This Row],[Delivery Fee]]-Table5[[#This Row],[Discount Amount]]</f>
        <v>550</v>
      </c>
      <c r="AB105" s="30" t="str">
        <f>_xlfn.XLOOKUP(Table5[[#This Row],[RiderID]], Rider_Directory!$F$2:$F$26, Rider_Directory!$B$2:$B$26)</f>
        <v>Kathmandu</v>
      </c>
      <c r="AC105" s="30" t="str" cm="1">
        <f t="array" ref="AC105">_xlfn.IFS(Table5[[#This Row],[Final Amount]]&lt;500, "Small", Table5[[#This Row],[Final Amount]]&lt;=1000, "Medium", Table5[[#This Row],[Final Amount]]&gt;1000, "Large")</f>
        <v>Medium</v>
      </c>
      <c r="AD105" s="30" t="str">
        <f>_xlfn.LET(_xlpm.expiry,_xlfn.XLOOKUP(Table5[[#This Row],[PromoCode]],Promo_Codes!$A$2:$A$9,Promo_Codes!$F$2:$F$9,DATE(2099,1,1)),IF(Table5[[#This Row],[OrderDate]]&gt;_xlpm.expiry,"Expired Code Used","Valid"))</f>
        <v>Valid</v>
      </c>
    </row>
    <row r="106" spans="1:30" x14ac:dyDescent="0.3">
      <c r="A106" s="28" t="s">
        <v>953</v>
      </c>
      <c r="B106" s="27">
        <v>45952</v>
      </c>
      <c r="C106" s="28" t="s">
        <v>860</v>
      </c>
      <c r="D106" s="28" t="s">
        <v>1267</v>
      </c>
      <c r="E106" s="27">
        <v>45950</v>
      </c>
      <c r="F106" s="27" t="str">
        <f t="shared" si="3"/>
        <v>New</v>
      </c>
      <c r="G106" s="28" t="s">
        <v>123</v>
      </c>
      <c r="H106" s="28" t="s">
        <v>171</v>
      </c>
      <c r="I106" s="28" t="s">
        <v>147</v>
      </c>
      <c r="J106" s="28" t="s">
        <v>264</v>
      </c>
      <c r="K106" s="29">
        <v>1</v>
      </c>
      <c r="L106" s="28" t="s">
        <v>290</v>
      </c>
      <c r="M106" s="28" t="s">
        <v>159</v>
      </c>
      <c r="N106" s="28" t="s">
        <v>188</v>
      </c>
      <c r="O106" s="28"/>
      <c r="P106" s="28" t="str">
        <f t="shared" si="4"/>
        <v xml:space="preserve"> NEED REVIEW</v>
      </c>
      <c r="Q106" s="29">
        <v>5</v>
      </c>
      <c r="R106" s="29">
        <v>42</v>
      </c>
      <c r="S106" s="28" t="s">
        <v>291</v>
      </c>
      <c r="T106" s="30" t="str">
        <f>_xlfn.CONCAT(Table5[[#This Row],[OrderID]]," | ",Table5[[#This Row],[City]]," | ",Table5[[#This Row],[ItemName]])</f>
        <v>ORD-1104 | Biratnagar | Cheese Cake Slice</v>
      </c>
      <c r="U106" s="30" t="str">
        <f>UPPER(Table5[[#This Row],[City]])</f>
        <v>BIRATNAGAR</v>
      </c>
      <c r="V106" s="30" t="str">
        <f>LOWER(Table5[[#This Row],[PaymentMethod]])</f>
        <v>khalti</v>
      </c>
      <c r="W106" s="30" cm="1">
        <f t="array" ref="W106">_xlfn.XLOOKUP(TRIM(Table5[[#This Row],[ItemName]]), TRIM(Menu_Price_List_tbl[ItemName]),Menu_Price_List_tbl[UnitPrice_NPR])</f>
        <v>250</v>
      </c>
      <c r="X106" s="31">
        <f t="shared" si="5"/>
        <v>250</v>
      </c>
      <c r="Y106" s="30">
        <f>_xlfn.XLOOKUP(Table5[[#This Row],[City]],City_Delivery_Fee_tbl[City],City_Delivery_Fee_tbl[BaseDeliveryFee_NPR])</f>
        <v>90</v>
      </c>
      <c r="Z10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25</v>
      </c>
      <c r="AA106" s="31">
        <f>Table5[[#This Row],[Order Amount]]+Table5[[#This Row],[Delivery Fee]]-Table5[[#This Row],[Discount Amount]]</f>
        <v>315</v>
      </c>
      <c r="AB106" s="30" t="str">
        <f>_xlfn.XLOOKUP(Table5[[#This Row],[RiderID]], Rider_Directory!$F$2:$F$26, Rider_Directory!$B$2:$B$26)</f>
        <v>Biratnagar</v>
      </c>
      <c r="AC106" s="30" t="str" cm="1">
        <f t="array" ref="AC106">_xlfn.IFS(Table5[[#This Row],[Final Amount]]&lt;500, "Small", Table5[[#This Row],[Final Amount]]&lt;=1000, "Medium", Table5[[#This Row],[Final Amount]]&gt;1000, "Large")</f>
        <v>Small</v>
      </c>
      <c r="AD106" s="30" t="str">
        <f>_xlfn.LET(_xlpm.expiry,_xlfn.XLOOKUP(Table5[[#This Row],[PromoCode]],Promo_Codes!$A$2:$A$9,Promo_Codes!$F$2:$F$9,DATE(2099,1,1)),IF(Table5[[#This Row],[OrderDate]]&gt;_xlpm.expiry,"Expired Code Used","Valid"))</f>
        <v>Valid</v>
      </c>
    </row>
    <row r="107" spans="1:30" x14ac:dyDescent="0.3">
      <c r="A107" s="28" t="s">
        <v>549</v>
      </c>
      <c r="B107" s="27">
        <v>45952</v>
      </c>
      <c r="C107" s="28" t="s">
        <v>243</v>
      </c>
      <c r="D107" s="28" t="s">
        <v>1175</v>
      </c>
      <c r="E107" s="27">
        <v>45814</v>
      </c>
      <c r="F107" s="27" t="str">
        <f t="shared" si="3"/>
        <v>Returning</v>
      </c>
      <c r="G107" s="28" t="s">
        <v>206</v>
      </c>
      <c r="H107" s="28" t="s">
        <v>171</v>
      </c>
      <c r="I107" s="28" t="s">
        <v>147</v>
      </c>
      <c r="J107" s="28" t="s">
        <v>172</v>
      </c>
      <c r="K107" s="29">
        <v>1</v>
      </c>
      <c r="L107" s="28" t="s">
        <v>358</v>
      </c>
      <c r="M107" s="28" t="s">
        <v>247</v>
      </c>
      <c r="N107" s="28"/>
      <c r="O107" s="28" t="s">
        <v>130</v>
      </c>
      <c r="P107" s="28" t="str">
        <f t="shared" si="4"/>
        <v/>
      </c>
      <c r="Q107" s="29">
        <v>5</v>
      </c>
      <c r="R107" s="29">
        <v>35</v>
      </c>
      <c r="S107" s="28" t="s">
        <v>302</v>
      </c>
      <c r="T107" s="30" t="str">
        <f>_xlfn.CONCAT(Table5[[#This Row],[OrderID]]," | ",Table5[[#This Row],[City]]," | ",Table5[[#This Row],[ItemName]])</f>
        <v>ORD-1105 | Pokhara | Chocolate Pastry</v>
      </c>
      <c r="U107" s="30" t="str">
        <f>UPPER(Table5[[#This Row],[City]])</f>
        <v>POKHARA</v>
      </c>
      <c r="V107" s="30" t="str">
        <f>LOWER(Table5[[#This Row],[PaymentMethod]])</f>
        <v>ime pay</v>
      </c>
      <c r="W107" s="30" cm="1">
        <f t="array" ref="W107">_xlfn.XLOOKUP(TRIM(Table5[[#This Row],[ItemName]]), TRIM(Menu_Price_List_tbl[ItemName]),Menu_Price_List_tbl[UnitPrice_NPR])</f>
        <v>150</v>
      </c>
      <c r="X107" s="31">
        <f t="shared" si="5"/>
        <v>150</v>
      </c>
      <c r="Y107" s="30">
        <f>_xlfn.XLOOKUP(Table5[[#This Row],[City]],City_Delivery_Fee_tbl[City],City_Delivery_Fee_tbl[BaseDeliveryFee_NPR])</f>
        <v>70</v>
      </c>
      <c r="Z10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07" s="31">
        <f>Table5[[#This Row],[Order Amount]]+Table5[[#This Row],[Delivery Fee]]-Table5[[#This Row],[Discount Amount]]</f>
        <v>220</v>
      </c>
      <c r="AB107" s="30" t="str">
        <f>_xlfn.XLOOKUP(Table5[[#This Row],[RiderID]], Rider_Directory!$F$2:$F$26, Rider_Directory!$B$2:$B$26)</f>
        <v>Pokhara</v>
      </c>
      <c r="AC107" s="30" t="str" cm="1">
        <f t="array" ref="AC107">_xlfn.IFS(Table5[[#This Row],[Final Amount]]&lt;500, "Small", Table5[[#This Row],[Final Amount]]&lt;=1000, "Medium", Table5[[#This Row],[Final Amount]]&gt;1000, "Large")</f>
        <v>Small</v>
      </c>
      <c r="AD107" s="30" t="str">
        <f>_xlfn.LET(_xlpm.expiry,_xlfn.XLOOKUP(Table5[[#This Row],[PromoCode]],Promo_Codes!$A$2:$A$9,Promo_Codes!$F$2:$F$9,DATE(2099,1,1)),IF(Table5[[#This Row],[OrderDate]]&gt;_xlpm.expiry,"Expired Code Used","Valid"))</f>
        <v>Valid</v>
      </c>
    </row>
    <row r="108" spans="1:30" x14ac:dyDescent="0.3">
      <c r="A108" s="28" t="s">
        <v>586</v>
      </c>
      <c r="B108" s="27">
        <v>45953</v>
      </c>
      <c r="C108" s="28" t="s">
        <v>243</v>
      </c>
      <c r="D108" s="28" t="s">
        <v>1222</v>
      </c>
      <c r="E108" s="27">
        <v>45952</v>
      </c>
      <c r="F108" s="27" t="str">
        <f t="shared" si="3"/>
        <v>New</v>
      </c>
      <c r="G108" s="28" t="s">
        <v>206</v>
      </c>
      <c r="H108" s="28" t="s">
        <v>288</v>
      </c>
      <c r="I108" s="28" t="s">
        <v>156</v>
      </c>
      <c r="J108" s="28" t="s">
        <v>157</v>
      </c>
      <c r="K108" s="29">
        <v>1</v>
      </c>
      <c r="L108" s="28" t="s">
        <v>208</v>
      </c>
      <c r="M108" s="28" t="s">
        <v>128</v>
      </c>
      <c r="N108" s="28"/>
      <c r="O108" s="28" t="s">
        <v>235</v>
      </c>
      <c r="P108" s="28" t="str">
        <f t="shared" si="4"/>
        <v/>
      </c>
      <c r="Q108" s="28"/>
      <c r="R108" s="29">
        <v>27</v>
      </c>
      <c r="S108" s="28"/>
      <c r="T108" s="30" t="str">
        <f>_xlfn.CONCAT(Table5[[#This Row],[OrderID]]," | ",Table5[[#This Row],[City]]," | ",Table5[[#This Row],[ItemName]])</f>
        <v>ORD-1106 | Pokhara | Chicken Manchurian</v>
      </c>
      <c r="U108" s="30" t="str">
        <f>UPPER(Table5[[#This Row],[City]])</f>
        <v>POKHARA</v>
      </c>
      <c r="V108" s="30" t="str">
        <f>LOWER(Table5[[#This Row],[PaymentMethod]])</f>
        <v>esewa</v>
      </c>
      <c r="W108" s="30" cm="1">
        <f t="array" ref="W108">_xlfn.XLOOKUP(TRIM(Table5[[#This Row],[ItemName]]), TRIM(Menu_Price_List_tbl[ItemName]),Menu_Price_List_tbl[UnitPrice_NPR])</f>
        <v>320</v>
      </c>
      <c r="X108" s="31">
        <f t="shared" si="5"/>
        <v>320</v>
      </c>
      <c r="Y108" s="30">
        <f>_xlfn.XLOOKUP(Table5[[#This Row],[City]],City_Delivery_Fee_tbl[City],City_Delivery_Fee_tbl[BaseDeliveryFee_NPR])</f>
        <v>70</v>
      </c>
      <c r="Z10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08" s="31">
        <f>Table5[[#This Row],[Order Amount]]+Table5[[#This Row],[Delivery Fee]]-Table5[[#This Row],[Discount Amount]]</f>
        <v>390</v>
      </c>
      <c r="AB108" s="30" t="str">
        <f>_xlfn.XLOOKUP(Table5[[#This Row],[RiderID]], Rider_Directory!$F$2:$F$26, Rider_Directory!$B$2:$B$26)</f>
        <v>Pokhara</v>
      </c>
      <c r="AC108" s="30" t="str" cm="1">
        <f t="array" ref="AC108">_xlfn.IFS(Table5[[#This Row],[Final Amount]]&lt;500, "Small", Table5[[#This Row],[Final Amount]]&lt;=1000, "Medium", Table5[[#This Row],[Final Amount]]&gt;1000, "Large")</f>
        <v>Small</v>
      </c>
      <c r="AD108" s="30" t="str">
        <f>_xlfn.LET(_xlpm.expiry,_xlfn.XLOOKUP(Table5[[#This Row],[PromoCode]],Promo_Codes!$A$2:$A$9,Promo_Codes!$F$2:$F$9,DATE(2099,1,1)),IF(Table5[[#This Row],[OrderDate]]&gt;_xlpm.expiry,"Expired Code Used","Valid"))</f>
        <v>Valid</v>
      </c>
    </row>
    <row r="109" spans="1:30" x14ac:dyDescent="0.3">
      <c r="A109" s="28" t="s">
        <v>318</v>
      </c>
      <c r="B109" s="27">
        <v>45953</v>
      </c>
      <c r="C109" s="28" t="s">
        <v>319</v>
      </c>
      <c r="D109" s="28" t="s">
        <v>1188</v>
      </c>
      <c r="E109" s="27">
        <v>45953</v>
      </c>
      <c r="F109" s="27" t="str">
        <f t="shared" si="3"/>
        <v>New</v>
      </c>
      <c r="G109" s="28" t="s">
        <v>206</v>
      </c>
      <c r="H109" s="28" t="s">
        <v>232</v>
      </c>
      <c r="I109" s="28" t="s">
        <v>233</v>
      </c>
      <c r="J109" s="28" t="s">
        <v>246</v>
      </c>
      <c r="K109" s="29">
        <v>1</v>
      </c>
      <c r="L109" s="28" t="s">
        <v>208</v>
      </c>
      <c r="M109" s="28" t="s">
        <v>128</v>
      </c>
      <c r="N109" s="28" t="s">
        <v>188</v>
      </c>
      <c r="O109" s="28" t="s">
        <v>130</v>
      </c>
      <c r="P109" s="28" t="str">
        <f t="shared" si="4"/>
        <v/>
      </c>
      <c r="Q109" s="29">
        <v>3</v>
      </c>
      <c r="R109" s="29">
        <v>36</v>
      </c>
      <c r="S109" s="28"/>
      <c r="T109" s="30" t="str">
        <f>_xlfn.CONCAT(Table5[[#This Row],[OrderID]]," | ",Table5[[#This Row],[City]]," | ",Table5[[#This Row],[ItemName]])</f>
        <v>ORD-1107 | Pokhara | Chicken Momo (Fried)</v>
      </c>
      <c r="U109" s="30" t="str">
        <f>UPPER(Table5[[#This Row],[City]])</f>
        <v>POKHARA</v>
      </c>
      <c r="V109" s="30" t="str">
        <f>LOWER(Table5[[#This Row],[PaymentMethod]])</f>
        <v>esewa</v>
      </c>
      <c r="W109" s="30" cm="1">
        <f t="array" ref="W109">_xlfn.XLOOKUP(TRIM(Table5[[#This Row],[ItemName]]), TRIM(Menu_Price_List_tbl[ItemName]),Menu_Price_List_tbl[UnitPrice_NPR])</f>
        <v>210</v>
      </c>
      <c r="X109" s="31">
        <f t="shared" si="5"/>
        <v>210</v>
      </c>
      <c r="Y109" s="30">
        <f>_xlfn.XLOOKUP(Table5[[#This Row],[City]],City_Delivery_Fee_tbl[City],City_Delivery_Fee_tbl[BaseDeliveryFee_NPR])</f>
        <v>70</v>
      </c>
      <c r="Z10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21</v>
      </c>
      <c r="AA109" s="31">
        <f>Table5[[#This Row],[Order Amount]]+Table5[[#This Row],[Delivery Fee]]-Table5[[#This Row],[Discount Amount]]</f>
        <v>259</v>
      </c>
      <c r="AB109" s="30" t="str">
        <f>_xlfn.XLOOKUP(Table5[[#This Row],[RiderID]], Rider_Directory!$F$2:$F$26, Rider_Directory!$B$2:$B$26)</f>
        <v>Pokhara</v>
      </c>
      <c r="AC109" s="30" t="str" cm="1">
        <f t="array" ref="AC109">_xlfn.IFS(Table5[[#This Row],[Final Amount]]&lt;500, "Small", Table5[[#This Row],[Final Amount]]&lt;=1000, "Medium", Table5[[#This Row],[Final Amount]]&gt;1000, "Large")</f>
        <v>Small</v>
      </c>
      <c r="AD109" s="30" t="str">
        <f>_xlfn.LET(_xlpm.expiry,_xlfn.XLOOKUP(Table5[[#This Row],[PromoCode]],Promo_Codes!$A$2:$A$9,Promo_Codes!$F$2:$F$9,DATE(2099,1,1)),IF(Table5[[#This Row],[OrderDate]]&gt;_xlpm.expiry,"Expired Code Used","Valid"))</f>
        <v>Valid</v>
      </c>
    </row>
    <row r="110" spans="1:30" x14ac:dyDescent="0.3">
      <c r="A110" s="28" t="s">
        <v>949</v>
      </c>
      <c r="B110" s="27">
        <v>45953</v>
      </c>
      <c r="C110" s="28" t="s">
        <v>1143</v>
      </c>
      <c r="D110" s="28" t="s">
        <v>1257</v>
      </c>
      <c r="E110" s="27">
        <v>45874</v>
      </c>
      <c r="F110" s="27" t="str">
        <f t="shared" si="3"/>
        <v>Returning</v>
      </c>
      <c r="G110" s="28" t="s">
        <v>177</v>
      </c>
      <c r="H110" s="28" t="s">
        <v>245</v>
      </c>
      <c r="I110" s="28" t="s">
        <v>233</v>
      </c>
      <c r="J110" s="28" t="s">
        <v>499</v>
      </c>
      <c r="K110" s="29">
        <v>4</v>
      </c>
      <c r="L110" s="28" t="s">
        <v>713</v>
      </c>
      <c r="M110" s="28" t="s">
        <v>247</v>
      </c>
      <c r="N110" s="28"/>
      <c r="O110" s="28" t="s">
        <v>130</v>
      </c>
      <c r="P110" s="28" t="str">
        <f t="shared" si="4"/>
        <v/>
      </c>
      <c r="Q110" s="29">
        <v>4</v>
      </c>
      <c r="R110" s="29">
        <v>22</v>
      </c>
      <c r="S110" s="28" t="s">
        <v>302</v>
      </c>
      <c r="T110" s="30" t="str">
        <f>_xlfn.CONCAT(Table5[[#This Row],[OrderID]]," | ",Table5[[#This Row],[City]]," | ",Table5[[#This Row],[ItemName]])</f>
        <v>ORD-1108 | Bhaktapur | Chilli Momo</v>
      </c>
      <c r="U110" s="30" t="str">
        <f>UPPER(Table5[[#This Row],[City]])</f>
        <v>BHAKTAPUR</v>
      </c>
      <c r="V110" s="30" t="str">
        <f>LOWER(Table5[[#This Row],[PaymentMethod]])</f>
        <v>ime pay</v>
      </c>
      <c r="W110" s="30" cm="1">
        <f t="array" ref="W110">_xlfn.XLOOKUP(TRIM(Table5[[#This Row],[ItemName]]), TRIM(Menu_Price_List_tbl[ItemName]),Menu_Price_List_tbl[UnitPrice_NPR])</f>
        <v>220</v>
      </c>
      <c r="X110" s="31">
        <f t="shared" si="5"/>
        <v>880</v>
      </c>
      <c r="Y110" s="30">
        <f>_xlfn.XLOOKUP(Table5[[#This Row],[City]],City_Delivery_Fee_tbl[City],City_Delivery_Fee_tbl[BaseDeliveryFee_NPR])</f>
        <v>55</v>
      </c>
      <c r="Z11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10" s="31">
        <f>Table5[[#This Row],[Order Amount]]+Table5[[#This Row],[Delivery Fee]]-Table5[[#This Row],[Discount Amount]]</f>
        <v>935</v>
      </c>
      <c r="AB110" s="30" t="str">
        <f>_xlfn.XLOOKUP(Table5[[#This Row],[RiderID]], Rider_Directory!$F$2:$F$26, Rider_Directory!$B$2:$B$26)</f>
        <v>Bhaktapur</v>
      </c>
      <c r="AC110" s="30" t="str" cm="1">
        <f t="array" ref="AC110">_xlfn.IFS(Table5[[#This Row],[Final Amount]]&lt;500, "Small", Table5[[#This Row],[Final Amount]]&lt;=1000, "Medium", Table5[[#This Row],[Final Amount]]&gt;1000, "Large")</f>
        <v>Medium</v>
      </c>
      <c r="AD110" s="30" t="str">
        <f>_xlfn.LET(_xlpm.expiry,_xlfn.XLOOKUP(Table5[[#This Row],[PromoCode]],Promo_Codes!$A$2:$A$9,Promo_Codes!$F$2:$F$9,DATE(2099,1,1)),IF(Table5[[#This Row],[OrderDate]]&gt;_xlpm.expiry,"Expired Code Used","Valid"))</f>
        <v>Valid</v>
      </c>
    </row>
    <row r="111" spans="1:30" x14ac:dyDescent="0.3">
      <c r="A111" s="28" t="s">
        <v>744</v>
      </c>
      <c r="B111" s="27">
        <v>45953</v>
      </c>
      <c r="C111" s="28" t="s">
        <v>745</v>
      </c>
      <c r="D111" s="28" t="s">
        <v>1218</v>
      </c>
      <c r="E111" s="27">
        <v>45953</v>
      </c>
      <c r="F111" s="27" t="str">
        <f t="shared" si="3"/>
        <v>New</v>
      </c>
      <c r="G111" s="28" t="s">
        <v>206</v>
      </c>
      <c r="H111" s="28" t="s">
        <v>171</v>
      </c>
      <c r="I111" s="28" t="s">
        <v>147</v>
      </c>
      <c r="J111" s="28" t="s">
        <v>222</v>
      </c>
      <c r="K111" s="29">
        <v>3</v>
      </c>
      <c r="L111" s="28" t="s">
        <v>298</v>
      </c>
      <c r="M111" s="28" t="s">
        <v>278</v>
      </c>
      <c r="N111" s="28" t="s">
        <v>188</v>
      </c>
      <c r="O111" s="28" t="s">
        <v>130</v>
      </c>
      <c r="P111" s="28" t="str">
        <f t="shared" si="4"/>
        <v/>
      </c>
      <c r="Q111" s="29">
        <v>5</v>
      </c>
      <c r="R111" s="29">
        <v>36</v>
      </c>
      <c r="S111" s="28"/>
      <c r="T111" s="30" t="str">
        <f>_xlfn.CONCAT(Table5[[#This Row],[OrderID]]," | ",Table5[[#This Row],[City]]," | ",Table5[[#This Row],[ItemName]])</f>
        <v>ORD-1109 | Pokhara |   Cheese Cake Slice</v>
      </c>
      <c r="U111" s="30" t="str">
        <f>UPPER(Table5[[#This Row],[City]])</f>
        <v>POKHARA</v>
      </c>
      <c r="V111" s="30" t="str">
        <f>LOWER(Table5[[#This Row],[PaymentMethod]])</f>
        <v>connectips</v>
      </c>
      <c r="W111" s="30" cm="1">
        <f t="array" ref="W111">_xlfn.XLOOKUP(TRIM(Table5[[#This Row],[ItemName]]), TRIM(Menu_Price_List_tbl[ItemName]),Menu_Price_List_tbl[UnitPrice_NPR])</f>
        <v>250</v>
      </c>
      <c r="X111" s="31">
        <f t="shared" si="5"/>
        <v>750</v>
      </c>
      <c r="Y111" s="30">
        <f>_xlfn.XLOOKUP(Table5[[#This Row],[City]],City_Delivery_Fee_tbl[City],City_Delivery_Fee_tbl[BaseDeliveryFee_NPR])</f>
        <v>70</v>
      </c>
      <c r="Z11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75</v>
      </c>
      <c r="AA111" s="31">
        <f>Table5[[#This Row],[Order Amount]]+Table5[[#This Row],[Delivery Fee]]-Table5[[#This Row],[Discount Amount]]</f>
        <v>745</v>
      </c>
      <c r="AB111" s="30" t="str">
        <f>_xlfn.XLOOKUP(Table5[[#This Row],[RiderID]], Rider_Directory!$F$2:$F$26, Rider_Directory!$B$2:$B$26)</f>
        <v>Pokhara</v>
      </c>
      <c r="AC111" s="30" t="str" cm="1">
        <f t="array" ref="AC111">_xlfn.IFS(Table5[[#This Row],[Final Amount]]&lt;500, "Small", Table5[[#This Row],[Final Amount]]&lt;=1000, "Medium", Table5[[#This Row],[Final Amount]]&gt;1000, "Large")</f>
        <v>Medium</v>
      </c>
      <c r="AD111" s="30" t="str">
        <f>_xlfn.LET(_xlpm.expiry,_xlfn.XLOOKUP(Table5[[#This Row],[PromoCode]],Promo_Codes!$A$2:$A$9,Promo_Codes!$F$2:$F$9,DATE(2099,1,1)),IF(Table5[[#This Row],[OrderDate]]&gt;_xlpm.expiry,"Expired Code Used","Valid"))</f>
        <v>Valid</v>
      </c>
    </row>
    <row r="112" spans="1:30" x14ac:dyDescent="0.3">
      <c r="A112" s="28" t="s">
        <v>634</v>
      </c>
      <c r="B112" s="27">
        <v>45954</v>
      </c>
      <c r="C112" s="28" t="s">
        <v>184</v>
      </c>
      <c r="D112" s="28" t="s">
        <v>1166</v>
      </c>
      <c r="E112" s="27">
        <v>45909</v>
      </c>
      <c r="F112" s="27" t="str">
        <f t="shared" si="3"/>
        <v>Returning</v>
      </c>
      <c r="G112" s="28" t="s">
        <v>259</v>
      </c>
      <c r="H112" s="28" t="s">
        <v>178</v>
      </c>
      <c r="I112" s="28" t="s">
        <v>179</v>
      </c>
      <c r="J112" s="28" t="s">
        <v>180</v>
      </c>
      <c r="K112" s="29">
        <v>1</v>
      </c>
      <c r="L112" s="28" t="s">
        <v>260</v>
      </c>
      <c r="M112" s="28" t="s">
        <v>140</v>
      </c>
      <c r="N112" s="28" t="s">
        <v>188</v>
      </c>
      <c r="O112" s="28" t="s">
        <v>130</v>
      </c>
      <c r="P112" s="28" t="str">
        <f t="shared" si="4"/>
        <v/>
      </c>
      <c r="Q112" s="29">
        <v>3</v>
      </c>
      <c r="R112" s="29">
        <v>57</v>
      </c>
      <c r="S112" s="28" t="s">
        <v>150</v>
      </c>
      <c r="T112" s="30" t="str">
        <f>_xlfn.CONCAT(Table5[[#This Row],[OrderID]]," | ",Table5[[#This Row],[City]]," | ",Table5[[#This Row],[ItemName]])</f>
        <v>ORD-1110 | Dharan | Veg Fried Rice</v>
      </c>
      <c r="U112" s="30" t="str">
        <f>UPPER(Table5[[#This Row],[City]])</f>
        <v>DHARAN</v>
      </c>
      <c r="V112" s="30" t="str">
        <f>LOWER(Table5[[#This Row],[PaymentMethod]])</f>
        <v>cash on delivery</v>
      </c>
      <c r="W112" s="30" cm="1">
        <f t="array" ref="W112">_xlfn.XLOOKUP(TRIM(Table5[[#This Row],[ItemName]]), TRIM(Menu_Price_List_tbl[ItemName]),Menu_Price_List_tbl[UnitPrice_NPR])</f>
        <v>220</v>
      </c>
      <c r="X112" s="31">
        <f t="shared" si="5"/>
        <v>220</v>
      </c>
      <c r="Y112" s="30">
        <f>_xlfn.XLOOKUP(Table5[[#This Row],[City]],City_Delivery_Fee_tbl[City],City_Delivery_Fee_tbl[BaseDeliveryFee_NPR])</f>
        <v>95</v>
      </c>
      <c r="Z11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22</v>
      </c>
      <c r="AA112" s="31">
        <f>Table5[[#This Row],[Order Amount]]+Table5[[#This Row],[Delivery Fee]]-Table5[[#This Row],[Discount Amount]]</f>
        <v>293</v>
      </c>
      <c r="AB112" s="30" t="str">
        <f>_xlfn.XLOOKUP(Table5[[#This Row],[RiderID]], Rider_Directory!$F$2:$F$26, Rider_Directory!$B$2:$B$26)</f>
        <v>Dharan</v>
      </c>
      <c r="AC112" s="30" t="str" cm="1">
        <f t="array" ref="AC112">_xlfn.IFS(Table5[[#This Row],[Final Amount]]&lt;500, "Small", Table5[[#This Row],[Final Amount]]&lt;=1000, "Medium", Table5[[#This Row],[Final Amount]]&gt;1000, "Large")</f>
        <v>Small</v>
      </c>
      <c r="AD112" s="30" t="str">
        <f>_xlfn.LET(_xlpm.expiry,_xlfn.XLOOKUP(Table5[[#This Row],[PromoCode]],Promo_Codes!$A$2:$A$9,Promo_Codes!$F$2:$F$9,DATE(2099,1,1)),IF(Table5[[#This Row],[OrderDate]]&gt;_xlpm.expiry,"Expired Code Used","Valid"))</f>
        <v>Valid</v>
      </c>
    </row>
    <row r="113" spans="1:30" x14ac:dyDescent="0.3">
      <c r="A113" s="28" t="s">
        <v>1035</v>
      </c>
      <c r="B113" s="27">
        <v>45954</v>
      </c>
      <c r="C113" s="28" t="s">
        <v>430</v>
      </c>
      <c r="D113" s="28" t="s">
        <v>1209</v>
      </c>
      <c r="E113" s="27">
        <v>45917</v>
      </c>
      <c r="F113" s="27" t="str">
        <f t="shared" si="3"/>
        <v>Returning</v>
      </c>
      <c r="G113" s="28" t="s">
        <v>170</v>
      </c>
      <c r="H113" s="28" t="s">
        <v>199</v>
      </c>
      <c r="I113" s="28" t="s">
        <v>179</v>
      </c>
      <c r="J113" s="28" t="s">
        <v>465</v>
      </c>
      <c r="K113" s="29">
        <v>1</v>
      </c>
      <c r="L113" s="28" t="s">
        <v>173</v>
      </c>
      <c r="M113" s="28" t="s">
        <v>278</v>
      </c>
      <c r="N113" s="28" t="s">
        <v>188</v>
      </c>
      <c r="O113" s="28" t="s">
        <v>130</v>
      </c>
      <c r="P113" s="28" t="str">
        <f t="shared" si="4"/>
        <v/>
      </c>
      <c r="Q113" s="29">
        <v>3</v>
      </c>
      <c r="R113" s="29">
        <v>3</v>
      </c>
      <c r="S113" s="28"/>
      <c r="T113" s="30" t="str">
        <f>_xlfn.CONCAT(Table5[[#This Row],[OrderID]]," | ",Table5[[#This Row],[City]]," | ",Table5[[#This Row],[ItemName]])</f>
        <v>ORD-1111 | Butwal | French Fries</v>
      </c>
      <c r="U113" s="30" t="str">
        <f>UPPER(Table5[[#This Row],[City]])</f>
        <v>BUTWAL</v>
      </c>
      <c r="V113" s="30" t="str">
        <f>LOWER(Table5[[#This Row],[PaymentMethod]])</f>
        <v>connectips</v>
      </c>
      <c r="W113" s="30" cm="1">
        <f t="array" ref="W113">_xlfn.XLOOKUP(TRIM(Table5[[#This Row],[ItemName]]), TRIM(Menu_Price_List_tbl[ItemName]),Menu_Price_List_tbl[UnitPrice_NPR])</f>
        <v>160</v>
      </c>
      <c r="X113" s="31">
        <f t="shared" si="5"/>
        <v>160</v>
      </c>
      <c r="Y113" s="30">
        <f>_xlfn.XLOOKUP(Table5[[#This Row],[City]],City_Delivery_Fee_tbl[City],City_Delivery_Fee_tbl[BaseDeliveryFee_NPR])</f>
        <v>85</v>
      </c>
      <c r="Z11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16</v>
      </c>
      <c r="AA113" s="31">
        <f>Table5[[#This Row],[Order Amount]]+Table5[[#This Row],[Delivery Fee]]-Table5[[#This Row],[Discount Amount]]</f>
        <v>229</v>
      </c>
      <c r="AB113" s="30" t="str">
        <f>_xlfn.XLOOKUP(Table5[[#This Row],[RiderID]], Rider_Directory!$F$2:$F$26, Rider_Directory!$B$2:$B$26)</f>
        <v>Butwal</v>
      </c>
      <c r="AC113" s="30" t="str" cm="1">
        <f t="array" ref="AC113">_xlfn.IFS(Table5[[#This Row],[Final Amount]]&lt;500, "Small", Table5[[#This Row],[Final Amount]]&lt;=1000, "Medium", Table5[[#This Row],[Final Amount]]&gt;1000, "Large")</f>
        <v>Small</v>
      </c>
      <c r="AD113" s="30" t="str">
        <f>_xlfn.LET(_xlpm.expiry,_xlfn.XLOOKUP(Table5[[#This Row],[PromoCode]],Promo_Codes!$A$2:$A$9,Promo_Codes!$F$2:$F$9,DATE(2099,1,1)),IF(Table5[[#This Row],[OrderDate]]&gt;_xlpm.expiry,"Expired Code Used","Valid"))</f>
        <v>Valid</v>
      </c>
    </row>
    <row r="114" spans="1:30" x14ac:dyDescent="0.3">
      <c r="A114" s="28" t="s">
        <v>618</v>
      </c>
      <c r="B114" s="27">
        <v>45954</v>
      </c>
      <c r="C114" s="28" t="s">
        <v>1136</v>
      </c>
      <c r="D114" s="28" t="s">
        <v>1240</v>
      </c>
      <c r="E114" s="27">
        <v>45700</v>
      </c>
      <c r="F114" s="27" t="str">
        <f t="shared" si="3"/>
        <v>Returning</v>
      </c>
      <c r="G114" s="28" t="s">
        <v>198</v>
      </c>
      <c r="H114" s="28" t="s">
        <v>171</v>
      </c>
      <c r="I114" s="28" t="s">
        <v>147</v>
      </c>
      <c r="J114" s="28" t="s">
        <v>621</v>
      </c>
      <c r="K114" s="29">
        <v>1</v>
      </c>
      <c r="L114" s="28" t="s">
        <v>213</v>
      </c>
      <c r="M114" s="28" t="s">
        <v>140</v>
      </c>
      <c r="N114" s="28"/>
      <c r="O114" s="28" t="s">
        <v>130</v>
      </c>
      <c r="P114" s="28" t="str">
        <f t="shared" si="4"/>
        <v/>
      </c>
      <c r="Q114" s="29">
        <v>5</v>
      </c>
      <c r="R114" s="29">
        <v>14</v>
      </c>
      <c r="S114" s="28"/>
      <c r="T114" s="30" t="str">
        <f>_xlfn.CONCAT(Table5[[#This Row],[OrderID]]," | ",Table5[[#This Row],[City]]," | ",Table5[[#This Row],[ItemName]])</f>
        <v xml:space="preserve">ORD-1112 | Lalitpur | Sel Roti (4 pcs)  </v>
      </c>
      <c r="U114" s="30" t="str">
        <f>UPPER(Table5[[#This Row],[City]])</f>
        <v>LALITPUR</v>
      </c>
      <c r="V114" s="30" t="str">
        <f>LOWER(Table5[[#This Row],[PaymentMethod]])</f>
        <v>cash on delivery</v>
      </c>
      <c r="W114" s="30" cm="1">
        <f t="array" ref="W114">_xlfn.XLOOKUP(TRIM(Table5[[#This Row],[ItemName]]), TRIM(Menu_Price_List_tbl[ItemName]),Menu_Price_List_tbl[UnitPrice_NPR])</f>
        <v>140</v>
      </c>
      <c r="X114" s="31">
        <f t="shared" si="5"/>
        <v>140</v>
      </c>
      <c r="Y114" s="30">
        <f>_xlfn.XLOOKUP(Table5[[#This Row],[City]],City_Delivery_Fee_tbl[City],City_Delivery_Fee_tbl[BaseDeliveryFee_NPR])</f>
        <v>50</v>
      </c>
      <c r="Z11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14" s="31">
        <f>Table5[[#This Row],[Order Amount]]+Table5[[#This Row],[Delivery Fee]]-Table5[[#This Row],[Discount Amount]]</f>
        <v>190</v>
      </c>
      <c r="AB114" s="30" t="str">
        <f>_xlfn.XLOOKUP(Table5[[#This Row],[RiderID]], Rider_Directory!$F$2:$F$26, Rider_Directory!$B$2:$B$26)</f>
        <v>Lalitpur</v>
      </c>
      <c r="AC114" s="30" t="str" cm="1">
        <f t="array" ref="AC114">_xlfn.IFS(Table5[[#This Row],[Final Amount]]&lt;500, "Small", Table5[[#This Row],[Final Amount]]&lt;=1000, "Medium", Table5[[#This Row],[Final Amount]]&gt;1000, "Large")</f>
        <v>Small</v>
      </c>
      <c r="AD114" s="30" t="str">
        <f>_xlfn.LET(_xlpm.expiry,_xlfn.XLOOKUP(Table5[[#This Row],[PromoCode]],Promo_Codes!$A$2:$A$9,Promo_Codes!$F$2:$F$9,DATE(2099,1,1)),IF(Table5[[#This Row],[OrderDate]]&gt;_xlpm.expiry,"Expired Code Used","Valid"))</f>
        <v>Valid</v>
      </c>
    </row>
    <row r="115" spans="1:30" x14ac:dyDescent="0.3">
      <c r="A115" s="28" t="s">
        <v>974</v>
      </c>
      <c r="B115" s="27">
        <v>45954</v>
      </c>
      <c r="C115" s="28" t="s">
        <v>610</v>
      </c>
      <c r="D115" s="28" t="s">
        <v>1238</v>
      </c>
      <c r="E115" s="27">
        <v>45916</v>
      </c>
      <c r="F115" s="27" t="str">
        <f t="shared" si="3"/>
        <v>Returning</v>
      </c>
      <c r="G115" s="28" t="s">
        <v>177</v>
      </c>
      <c r="H115" s="28" t="s">
        <v>178</v>
      </c>
      <c r="I115" s="28" t="s">
        <v>179</v>
      </c>
      <c r="J115" s="28" t="s">
        <v>976</v>
      </c>
      <c r="K115" s="29">
        <v>3</v>
      </c>
      <c r="L115" s="28" t="s">
        <v>181</v>
      </c>
      <c r="M115" s="28" t="s">
        <v>278</v>
      </c>
      <c r="N115" s="28"/>
      <c r="O115" s="28" t="s">
        <v>130</v>
      </c>
      <c r="P115" s="28" t="str">
        <f t="shared" si="4"/>
        <v/>
      </c>
      <c r="Q115" s="29">
        <v>5</v>
      </c>
      <c r="R115" s="29">
        <v>27</v>
      </c>
      <c r="S115" s="28" t="s">
        <v>141</v>
      </c>
      <c r="T115" s="30" t="str">
        <f>_xlfn.CONCAT(Table5[[#This Row],[OrderID]]," | ",Table5[[#This Row],[City]]," | ",Table5[[#This Row],[ItemName]])</f>
        <v xml:space="preserve">ORD-1113 | Bhaktapur | Chicken Chowmein  </v>
      </c>
      <c r="U115" s="30" t="str">
        <f>UPPER(Table5[[#This Row],[City]])</f>
        <v>BHAKTAPUR</v>
      </c>
      <c r="V115" s="30" t="str">
        <f>LOWER(Table5[[#This Row],[PaymentMethod]])</f>
        <v>connectips</v>
      </c>
      <c r="W115" s="30" cm="1">
        <f t="array" ref="W115">_xlfn.XLOOKUP(TRIM(Table5[[#This Row],[ItemName]]), TRIM(Menu_Price_List_tbl[ItemName]),Menu_Price_List_tbl[UnitPrice_NPR])</f>
        <v>250</v>
      </c>
      <c r="X115" s="31">
        <f t="shared" si="5"/>
        <v>750</v>
      </c>
      <c r="Y115" s="30">
        <f>_xlfn.XLOOKUP(Table5[[#This Row],[City]],City_Delivery_Fee_tbl[City],City_Delivery_Fee_tbl[BaseDeliveryFee_NPR])</f>
        <v>55</v>
      </c>
      <c r="Z11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15" s="31">
        <f>Table5[[#This Row],[Order Amount]]+Table5[[#This Row],[Delivery Fee]]-Table5[[#This Row],[Discount Amount]]</f>
        <v>805</v>
      </c>
      <c r="AB115" s="30" t="str">
        <f>_xlfn.XLOOKUP(Table5[[#This Row],[RiderID]], Rider_Directory!$F$2:$F$26, Rider_Directory!$B$2:$B$26)</f>
        <v>Bhaktapur</v>
      </c>
      <c r="AC115" s="30" t="str" cm="1">
        <f t="array" ref="AC115">_xlfn.IFS(Table5[[#This Row],[Final Amount]]&lt;500, "Small", Table5[[#This Row],[Final Amount]]&lt;=1000, "Medium", Table5[[#This Row],[Final Amount]]&gt;1000, "Large")</f>
        <v>Medium</v>
      </c>
      <c r="AD115" s="30" t="str">
        <f>_xlfn.LET(_xlpm.expiry,_xlfn.XLOOKUP(Table5[[#This Row],[PromoCode]],Promo_Codes!$A$2:$A$9,Promo_Codes!$F$2:$F$9,DATE(2099,1,1)),IF(Table5[[#This Row],[OrderDate]]&gt;_xlpm.expiry,"Expired Code Used","Valid"))</f>
        <v>Valid</v>
      </c>
    </row>
    <row r="116" spans="1:30" x14ac:dyDescent="0.3">
      <c r="A116" s="28" t="s">
        <v>482</v>
      </c>
      <c r="B116" s="27">
        <v>45954</v>
      </c>
      <c r="C116" s="28" t="s">
        <v>1131</v>
      </c>
      <c r="D116" s="28" t="s">
        <v>1219</v>
      </c>
      <c r="E116" s="27">
        <v>45937</v>
      </c>
      <c r="F116" s="27" t="str">
        <f t="shared" si="3"/>
        <v>Returning</v>
      </c>
      <c r="G116" s="28" t="s">
        <v>206</v>
      </c>
      <c r="H116" s="28" t="s">
        <v>124</v>
      </c>
      <c r="I116" s="28" t="s">
        <v>125</v>
      </c>
      <c r="J116" s="28" t="s">
        <v>485</v>
      </c>
      <c r="K116" s="29">
        <v>1</v>
      </c>
      <c r="L116" s="28" t="s">
        <v>298</v>
      </c>
      <c r="M116" s="28" t="s">
        <v>140</v>
      </c>
      <c r="N116" s="28" t="s">
        <v>188</v>
      </c>
      <c r="O116" s="28" t="s">
        <v>130</v>
      </c>
      <c r="P116" s="28" t="str">
        <f t="shared" si="4"/>
        <v/>
      </c>
      <c r="Q116" s="29">
        <v>4</v>
      </c>
      <c r="R116" s="29">
        <v>39</v>
      </c>
      <c r="S116" s="28" t="s">
        <v>291</v>
      </c>
      <c r="T116" s="30" t="str">
        <f>_xlfn.CONCAT(Table5[[#This Row],[OrderID]]," | ",Table5[[#This Row],[City]]," | ",Table5[[#This Row],[ItemName]])</f>
        <v>ORD-1114 | Pokhara | CHOILA (BUFF)</v>
      </c>
      <c r="U116" s="30" t="str">
        <f>UPPER(Table5[[#This Row],[City]])</f>
        <v>POKHARA</v>
      </c>
      <c r="V116" s="30" t="str">
        <f>LOWER(Table5[[#This Row],[PaymentMethod]])</f>
        <v>cash on delivery</v>
      </c>
      <c r="W116" s="30" cm="1">
        <f t="array" ref="W116">_xlfn.XLOOKUP(TRIM(Table5[[#This Row],[ItemName]]), TRIM(Menu_Price_List_tbl[ItemName]),Menu_Price_List_tbl[UnitPrice_NPR])</f>
        <v>320</v>
      </c>
      <c r="X116" s="31">
        <f t="shared" si="5"/>
        <v>320</v>
      </c>
      <c r="Y116" s="30">
        <f>_xlfn.XLOOKUP(Table5[[#This Row],[City]],City_Delivery_Fee_tbl[City],City_Delivery_Fee_tbl[BaseDeliveryFee_NPR])</f>
        <v>70</v>
      </c>
      <c r="Z11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32</v>
      </c>
      <c r="AA116" s="31">
        <f>Table5[[#This Row],[Order Amount]]+Table5[[#This Row],[Delivery Fee]]-Table5[[#This Row],[Discount Amount]]</f>
        <v>358</v>
      </c>
      <c r="AB116" s="30" t="str">
        <f>_xlfn.XLOOKUP(Table5[[#This Row],[RiderID]], Rider_Directory!$F$2:$F$26, Rider_Directory!$B$2:$B$26)</f>
        <v>Pokhara</v>
      </c>
      <c r="AC116" s="30" t="str" cm="1">
        <f t="array" ref="AC116">_xlfn.IFS(Table5[[#This Row],[Final Amount]]&lt;500, "Small", Table5[[#This Row],[Final Amount]]&lt;=1000, "Medium", Table5[[#This Row],[Final Amount]]&gt;1000, "Large")</f>
        <v>Small</v>
      </c>
      <c r="AD116" s="30" t="str">
        <f>_xlfn.LET(_xlpm.expiry,_xlfn.XLOOKUP(Table5[[#This Row],[PromoCode]],Promo_Codes!$A$2:$A$9,Promo_Codes!$F$2:$F$9,DATE(2099,1,1)),IF(Table5[[#This Row],[OrderDate]]&gt;_xlpm.expiry,"Expired Code Used","Valid"))</f>
        <v>Valid</v>
      </c>
    </row>
    <row r="117" spans="1:30" x14ac:dyDescent="0.3">
      <c r="A117" s="28" t="s">
        <v>710</v>
      </c>
      <c r="B117" s="27">
        <v>45954</v>
      </c>
      <c r="C117" s="28" t="s">
        <v>988</v>
      </c>
      <c r="D117" s="28" t="s">
        <v>1224</v>
      </c>
      <c r="E117" s="27">
        <v>45701</v>
      </c>
      <c r="F117" s="27" t="str">
        <f t="shared" si="3"/>
        <v>Returning</v>
      </c>
      <c r="G117" s="28" t="s">
        <v>177</v>
      </c>
      <c r="H117" s="28" t="s">
        <v>146</v>
      </c>
      <c r="I117" s="28" t="s">
        <v>147</v>
      </c>
      <c r="J117" s="28" t="s">
        <v>264</v>
      </c>
      <c r="K117" s="29">
        <v>2</v>
      </c>
      <c r="L117" s="28" t="s">
        <v>713</v>
      </c>
      <c r="M117" s="28" t="s">
        <v>128</v>
      </c>
      <c r="N117" s="28"/>
      <c r="O117" s="28" t="s">
        <v>279</v>
      </c>
      <c r="P117" s="28" t="str">
        <f t="shared" si="4"/>
        <v/>
      </c>
      <c r="Q117" s="28"/>
      <c r="R117" s="29">
        <v>26</v>
      </c>
      <c r="S117" s="28"/>
      <c r="T117" s="30" t="str">
        <f>_xlfn.CONCAT(Table5[[#This Row],[OrderID]]," | ",Table5[[#This Row],[City]]," | ",Table5[[#This Row],[ItemName]])</f>
        <v>ORD-1115 | Bhaktapur | Cheese Cake Slice</v>
      </c>
      <c r="U117" s="30" t="str">
        <f>UPPER(Table5[[#This Row],[City]])</f>
        <v>BHAKTAPUR</v>
      </c>
      <c r="V117" s="30" t="str">
        <f>LOWER(Table5[[#This Row],[PaymentMethod]])</f>
        <v>esewa</v>
      </c>
      <c r="W117" s="30" cm="1">
        <f t="array" ref="W117">_xlfn.XLOOKUP(TRIM(Table5[[#This Row],[ItemName]]), TRIM(Menu_Price_List_tbl[ItemName]),Menu_Price_List_tbl[UnitPrice_NPR])</f>
        <v>250</v>
      </c>
      <c r="X117" s="31">
        <f t="shared" si="5"/>
        <v>500</v>
      </c>
      <c r="Y117" s="30">
        <f>_xlfn.XLOOKUP(Table5[[#This Row],[City]],City_Delivery_Fee_tbl[City],City_Delivery_Fee_tbl[BaseDeliveryFee_NPR])</f>
        <v>55</v>
      </c>
      <c r="Z11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17" s="31">
        <f>Table5[[#This Row],[Order Amount]]+Table5[[#This Row],[Delivery Fee]]-Table5[[#This Row],[Discount Amount]]</f>
        <v>555</v>
      </c>
      <c r="AB117" s="30" t="str">
        <f>_xlfn.XLOOKUP(Table5[[#This Row],[RiderID]], Rider_Directory!$F$2:$F$26, Rider_Directory!$B$2:$B$26)</f>
        <v>Bhaktapur</v>
      </c>
      <c r="AC117" s="30" t="str" cm="1">
        <f t="array" ref="AC117">_xlfn.IFS(Table5[[#This Row],[Final Amount]]&lt;500, "Small", Table5[[#This Row],[Final Amount]]&lt;=1000, "Medium", Table5[[#This Row],[Final Amount]]&gt;1000, "Large")</f>
        <v>Medium</v>
      </c>
      <c r="AD117" s="30" t="str">
        <f>_xlfn.LET(_xlpm.expiry,_xlfn.XLOOKUP(Table5[[#This Row],[PromoCode]],Promo_Codes!$A$2:$A$9,Promo_Codes!$F$2:$F$9,DATE(2099,1,1)),IF(Table5[[#This Row],[OrderDate]]&gt;_xlpm.expiry,"Expired Code Used","Valid"))</f>
        <v>Valid</v>
      </c>
    </row>
    <row r="118" spans="1:30" x14ac:dyDescent="0.3">
      <c r="A118" s="28" t="s">
        <v>189</v>
      </c>
      <c r="B118" s="27">
        <v>45955</v>
      </c>
      <c r="C118" s="28" t="s">
        <v>686</v>
      </c>
      <c r="D118" s="28" t="s">
        <v>1167</v>
      </c>
      <c r="E118" s="27">
        <v>45877</v>
      </c>
      <c r="F118" s="27" t="str">
        <f t="shared" si="3"/>
        <v>Returning</v>
      </c>
      <c r="G118" s="28" t="s">
        <v>145</v>
      </c>
      <c r="H118" s="28" t="s">
        <v>192</v>
      </c>
      <c r="I118" s="28" t="s">
        <v>137</v>
      </c>
      <c r="J118" s="28" t="s">
        <v>193</v>
      </c>
      <c r="K118" s="29">
        <v>2</v>
      </c>
      <c r="L118" s="28" t="s">
        <v>149</v>
      </c>
      <c r="M118" s="28" t="s">
        <v>128</v>
      </c>
      <c r="N118" s="28"/>
      <c r="O118" s="28" t="s">
        <v>130</v>
      </c>
      <c r="P118" s="28" t="str">
        <f t="shared" si="4"/>
        <v/>
      </c>
      <c r="Q118" s="29">
        <v>2</v>
      </c>
      <c r="R118" s="29">
        <v>63</v>
      </c>
      <c r="S118" s="28" t="s">
        <v>194</v>
      </c>
      <c r="T118" s="30" t="str">
        <f>_xlfn.CONCAT(Table5[[#This Row],[OrderID]]," | ",Table5[[#This Row],[City]]," | ",Table5[[#This Row],[ItemName]])</f>
        <v xml:space="preserve">ORD-1116 | Chitwan | Chicken Thakali Set  </v>
      </c>
      <c r="U118" s="30" t="str">
        <f>UPPER(Table5[[#This Row],[City]])</f>
        <v>CHITWAN</v>
      </c>
      <c r="V118" s="30" t="str">
        <f>LOWER(Table5[[#This Row],[PaymentMethod]])</f>
        <v>esewa</v>
      </c>
      <c r="W118" s="30" cm="1">
        <f t="array" ref="W118">_xlfn.XLOOKUP(TRIM(Table5[[#This Row],[ItemName]]), TRIM(Menu_Price_List_tbl[ItemName]),Menu_Price_List_tbl[UnitPrice_NPR])</f>
        <v>480</v>
      </c>
      <c r="X118" s="31">
        <f t="shared" si="5"/>
        <v>960</v>
      </c>
      <c r="Y118" s="30">
        <f>_xlfn.XLOOKUP(Table5[[#This Row],[City]],City_Delivery_Fee_tbl[City],City_Delivery_Fee_tbl[BaseDeliveryFee_NPR])</f>
        <v>80</v>
      </c>
      <c r="Z11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18" s="31">
        <f>Table5[[#This Row],[Order Amount]]+Table5[[#This Row],[Delivery Fee]]-Table5[[#This Row],[Discount Amount]]</f>
        <v>1040</v>
      </c>
      <c r="AB118" s="30" t="str">
        <f>_xlfn.XLOOKUP(Table5[[#This Row],[RiderID]], Rider_Directory!$F$2:$F$26, Rider_Directory!$B$2:$B$26)</f>
        <v>Chitwan</v>
      </c>
      <c r="AC118" s="30" t="str" cm="1">
        <f t="array" ref="AC118">_xlfn.IFS(Table5[[#This Row],[Final Amount]]&lt;500, "Small", Table5[[#This Row],[Final Amount]]&lt;=1000, "Medium", Table5[[#This Row],[Final Amount]]&gt;1000, "Large")</f>
        <v>Large</v>
      </c>
      <c r="AD118" s="30" t="str">
        <f>_xlfn.LET(_xlpm.expiry,_xlfn.XLOOKUP(Table5[[#This Row],[PromoCode]],Promo_Codes!$A$2:$A$9,Promo_Codes!$F$2:$F$9,DATE(2099,1,1)),IF(Table5[[#This Row],[OrderDate]]&gt;_xlpm.expiry,"Expired Code Used","Valid"))</f>
        <v>Valid</v>
      </c>
    </row>
    <row r="119" spans="1:30" x14ac:dyDescent="0.3">
      <c r="A119" s="28" t="s">
        <v>612</v>
      </c>
      <c r="B119" s="27">
        <v>45955</v>
      </c>
      <c r="C119" s="28" t="s">
        <v>613</v>
      </c>
      <c r="D119" s="28" t="s">
        <v>1239</v>
      </c>
      <c r="E119" s="27">
        <v>45940</v>
      </c>
      <c r="F119" s="27" t="str">
        <f t="shared" si="3"/>
        <v>Returning</v>
      </c>
      <c r="G119" s="28" t="s">
        <v>198</v>
      </c>
      <c r="H119" s="28" t="s">
        <v>155</v>
      </c>
      <c r="I119" s="28" t="s">
        <v>156</v>
      </c>
      <c r="J119" s="28" t="s">
        <v>389</v>
      </c>
      <c r="K119" s="29">
        <v>2</v>
      </c>
      <c r="L119" s="28" t="s">
        <v>251</v>
      </c>
      <c r="M119" s="28" t="s">
        <v>128</v>
      </c>
      <c r="N119" s="28" t="s">
        <v>240</v>
      </c>
      <c r="O119" s="28" t="s">
        <v>130</v>
      </c>
      <c r="P119" s="28" t="str">
        <f t="shared" si="4"/>
        <v/>
      </c>
      <c r="Q119" s="29">
        <v>4</v>
      </c>
      <c r="R119" s="29">
        <v>24</v>
      </c>
      <c r="S119" s="28"/>
      <c r="T119" s="30" t="str">
        <f>_xlfn.CONCAT(Table5[[#This Row],[OrderID]]," | ",Table5[[#This Row],[City]]," | ",Table5[[#This Row],[ItemName]])</f>
        <v>ORD-1117 | Lalitpur | Veg Chopsuey</v>
      </c>
      <c r="U119" s="30" t="str">
        <f>UPPER(Table5[[#This Row],[City]])</f>
        <v>LALITPUR</v>
      </c>
      <c r="V119" s="30" t="str">
        <f>LOWER(Table5[[#This Row],[PaymentMethod]])</f>
        <v>esewa</v>
      </c>
      <c r="W119" s="30" cm="1">
        <f t="array" ref="W119">_xlfn.XLOOKUP(TRIM(Table5[[#This Row],[ItemName]]), TRIM(Menu_Price_List_tbl[ItemName]),Menu_Price_List_tbl[UnitPrice_NPR])</f>
        <v>260</v>
      </c>
      <c r="X119" s="31">
        <f t="shared" si="5"/>
        <v>520</v>
      </c>
      <c r="Y119" s="30">
        <f>_xlfn.XLOOKUP(Table5[[#This Row],[City]],City_Delivery_Fee_tbl[City],City_Delivery_Fee_tbl[BaseDeliveryFee_NPR])</f>
        <v>50</v>
      </c>
      <c r="Z11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104</v>
      </c>
      <c r="AA119" s="31">
        <f>Table5[[#This Row],[Order Amount]]+Table5[[#This Row],[Delivery Fee]]-Table5[[#This Row],[Discount Amount]]</f>
        <v>466</v>
      </c>
      <c r="AB119" s="30" t="str">
        <f>_xlfn.XLOOKUP(Table5[[#This Row],[RiderID]], Rider_Directory!$F$2:$F$26, Rider_Directory!$B$2:$B$26)</f>
        <v>Lalitpur</v>
      </c>
      <c r="AC119" s="30" t="str" cm="1">
        <f t="array" ref="AC119">_xlfn.IFS(Table5[[#This Row],[Final Amount]]&lt;500, "Small", Table5[[#This Row],[Final Amount]]&lt;=1000, "Medium", Table5[[#This Row],[Final Amount]]&gt;1000, "Large")</f>
        <v>Small</v>
      </c>
      <c r="AD119" s="30" t="str">
        <f>_xlfn.LET(_xlpm.expiry,_xlfn.XLOOKUP(Table5[[#This Row],[PromoCode]],Promo_Codes!$A$2:$A$9,Promo_Codes!$F$2:$F$9,DATE(2099,1,1)),IF(Table5[[#This Row],[OrderDate]]&gt;_xlpm.expiry,"Expired Code Used","Valid"))</f>
        <v>Valid</v>
      </c>
    </row>
    <row r="120" spans="1:30" x14ac:dyDescent="0.3">
      <c r="A120" s="28" t="s">
        <v>403</v>
      </c>
      <c r="B120" s="27">
        <v>45955</v>
      </c>
      <c r="C120" s="28" t="s">
        <v>404</v>
      </c>
      <c r="D120" s="28" t="s">
        <v>1203</v>
      </c>
      <c r="E120" s="27">
        <v>45953</v>
      </c>
      <c r="F120" s="27" t="str">
        <f t="shared" si="3"/>
        <v>New</v>
      </c>
      <c r="G120" s="28" t="s">
        <v>123</v>
      </c>
      <c r="H120" s="28" t="s">
        <v>178</v>
      </c>
      <c r="I120" s="28" t="s">
        <v>179</v>
      </c>
      <c r="J120" s="28" t="s">
        <v>406</v>
      </c>
      <c r="K120" s="29">
        <v>2</v>
      </c>
      <c r="L120" s="28" t="s">
        <v>166</v>
      </c>
      <c r="M120" s="28" t="s">
        <v>140</v>
      </c>
      <c r="N120" s="28" t="s">
        <v>188</v>
      </c>
      <c r="O120" s="28" t="s">
        <v>130</v>
      </c>
      <c r="P120" s="28" t="str">
        <f t="shared" si="4"/>
        <v/>
      </c>
      <c r="Q120" s="29">
        <v>5</v>
      </c>
      <c r="R120" s="29">
        <v>28</v>
      </c>
      <c r="S120" s="28" t="s">
        <v>202</v>
      </c>
      <c r="T120" s="30" t="str">
        <f>_xlfn.CONCAT(Table5[[#This Row],[OrderID]]," | ",Table5[[#This Row],[City]]," | ",Table5[[#This Row],[ItemName]])</f>
        <v>ORD-1118 | Biratnagar | chicken pizza</v>
      </c>
      <c r="U120" s="30" t="str">
        <f>UPPER(Table5[[#This Row],[City]])</f>
        <v>BIRATNAGAR</v>
      </c>
      <c r="V120" s="30" t="str">
        <f>LOWER(Table5[[#This Row],[PaymentMethod]])</f>
        <v>cash on delivery</v>
      </c>
      <c r="W120" s="30" cm="1">
        <f t="array" ref="W120">_xlfn.XLOOKUP(TRIM(Table5[[#This Row],[ItemName]]), TRIM(Menu_Price_List_tbl[ItemName]),Menu_Price_List_tbl[UnitPrice_NPR])</f>
        <v>650</v>
      </c>
      <c r="X120" s="31">
        <f t="shared" si="5"/>
        <v>1300</v>
      </c>
      <c r="Y120" s="30">
        <f>_xlfn.XLOOKUP(Table5[[#This Row],[City]],City_Delivery_Fee_tbl[City],City_Delivery_Fee_tbl[BaseDeliveryFee_NPR])</f>
        <v>90</v>
      </c>
      <c r="Z12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130</v>
      </c>
      <c r="AA120" s="31">
        <f>Table5[[#This Row],[Order Amount]]+Table5[[#This Row],[Delivery Fee]]-Table5[[#This Row],[Discount Amount]]</f>
        <v>1260</v>
      </c>
      <c r="AB120" s="30" t="str">
        <f>_xlfn.XLOOKUP(Table5[[#This Row],[RiderID]], Rider_Directory!$F$2:$F$26, Rider_Directory!$B$2:$B$26)</f>
        <v>Biratnagar</v>
      </c>
      <c r="AC120" s="30" t="str" cm="1">
        <f t="array" ref="AC120">_xlfn.IFS(Table5[[#This Row],[Final Amount]]&lt;500, "Small", Table5[[#This Row],[Final Amount]]&lt;=1000, "Medium", Table5[[#This Row],[Final Amount]]&gt;1000, "Large")</f>
        <v>Large</v>
      </c>
      <c r="AD120" s="30" t="str">
        <f>_xlfn.LET(_xlpm.expiry,_xlfn.XLOOKUP(Table5[[#This Row],[PromoCode]],Promo_Codes!$A$2:$A$9,Promo_Codes!$F$2:$F$9,DATE(2099,1,1)),IF(Table5[[#This Row],[OrderDate]]&gt;_xlpm.expiry,"Expired Code Used","Valid"))</f>
        <v>Valid</v>
      </c>
    </row>
    <row r="121" spans="1:30" x14ac:dyDescent="0.3">
      <c r="A121" s="28" t="s">
        <v>987</v>
      </c>
      <c r="B121" s="27">
        <v>45955</v>
      </c>
      <c r="C121" s="28" t="s">
        <v>988</v>
      </c>
      <c r="D121" s="28" t="s">
        <v>1250</v>
      </c>
      <c r="E121" s="27">
        <v>45927</v>
      </c>
      <c r="F121" s="27" t="str">
        <f t="shared" si="3"/>
        <v>Returning</v>
      </c>
      <c r="G121" s="28" t="s">
        <v>123</v>
      </c>
      <c r="H121" s="28" t="s">
        <v>178</v>
      </c>
      <c r="I121" s="28" t="s">
        <v>179</v>
      </c>
      <c r="J121" s="28" t="s">
        <v>421</v>
      </c>
      <c r="K121" s="29">
        <v>2</v>
      </c>
      <c r="L121" s="28" t="s">
        <v>166</v>
      </c>
      <c r="M121" s="28" t="s">
        <v>128</v>
      </c>
      <c r="N121" s="28" t="s">
        <v>188</v>
      </c>
      <c r="O121" s="28" t="s">
        <v>130</v>
      </c>
      <c r="P121" s="28" t="str">
        <f t="shared" si="4"/>
        <v/>
      </c>
      <c r="Q121" s="29">
        <v>4</v>
      </c>
      <c r="R121" s="29">
        <v>38</v>
      </c>
      <c r="S121" s="28" t="s">
        <v>291</v>
      </c>
      <c r="T121" s="30" t="str">
        <f>_xlfn.CONCAT(Table5[[#This Row],[OrderID]]," | ",Table5[[#This Row],[City]]," | ",Table5[[#This Row],[ItemName]])</f>
        <v>ORD-1119 | Biratnagar | Chicken Burger</v>
      </c>
      <c r="U121" s="30" t="str">
        <f>UPPER(Table5[[#This Row],[City]])</f>
        <v>BIRATNAGAR</v>
      </c>
      <c r="V121" s="30" t="str">
        <f>LOWER(Table5[[#This Row],[PaymentMethod]])</f>
        <v>esewa</v>
      </c>
      <c r="W121" s="30" cm="1">
        <f t="array" ref="W121">_xlfn.XLOOKUP(TRIM(Table5[[#This Row],[ItemName]]), TRIM(Menu_Price_List_tbl[ItemName]),Menu_Price_List_tbl[UnitPrice_NPR])</f>
        <v>280</v>
      </c>
      <c r="X121" s="31">
        <f t="shared" si="5"/>
        <v>560</v>
      </c>
      <c r="Y121" s="30">
        <f>_xlfn.XLOOKUP(Table5[[#This Row],[City]],City_Delivery_Fee_tbl[City],City_Delivery_Fee_tbl[BaseDeliveryFee_NPR])</f>
        <v>90</v>
      </c>
      <c r="Z12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56</v>
      </c>
      <c r="AA121" s="31">
        <f>Table5[[#This Row],[Order Amount]]+Table5[[#This Row],[Delivery Fee]]-Table5[[#This Row],[Discount Amount]]</f>
        <v>594</v>
      </c>
      <c r="AB121" s="30" t="str">
        <f>_xlfn.XLOOKUP(Table5[[#This Row],[RiderID]], Rider_Directory!$F$2:$F$26, Rider_Directory!$B$2:$B$26)</f>
        <v>Biratnagar</v>
      </c>
      <c r="AC121" s="30" t="str" cm="1">
        <f t="array" ref="AC121">_xlfn.IFS(Table5[[#This Row],[Final Amount]]&lt;500, "Small", Table5[[#This Row],[Final Amount]]&lt;=1000, "Medium", Table5[[#This Row],[Final Amount]]&gt;1000, "Large")</f>
        <v>Medium</v>
      </c>
      <c r="AD121" s="30" t="str">
        <f>_xlfn.LET(_xlpm.expiry,_xlfn.XLOOKUP(Table5[[#This Row],[PromoCode]],Promo_Codes!$A$2:$A$9,Promo_Codes!$F$2:$F$9,DATE(2099,1,1)),IF(Table5[[#This Row],[OrderDate]]&gt;_xlpm.expiry,"Expired Code Used","Valid"))</f>
        <v>Valid</v>
      </c>
    </row>
    <row r="122" spans="1:30" x14ac:dyDescent="0.3">
      <c r="A122" s="28" t="s">
        <v>407</v>
      </c>
      <c r="B122" s="27">
        <v>45955</v>
      </c>
      <c r="C122" s="28" t="s">
        <v>121</v>
      </c>
      <c r="D122" s="28" t="s">
        <v>1159</v>
      </c>
      <c r="E122" s="27">
        <v>45955</v>
      </c>
      <c r="F122" s="27" t="str">
        <f t="shared" si="3"/>
        <v>New</v>
      </c>
      <c r="G122" s="28" t="s">
        <v>135</v>
      </c>
      <c r="H122" s="28" t="s">
        <v>146</v>
      </c>
      <c r="I122" s="28" t="s">
        <v>147</v>
      </c>
      <c r="J122" s="28" t="s">
        <v>172</v>
      </c>
      <c r="K122" s="29">
        <v>3</v>
      </c>
      <c r="L122" s="28" t="s">
        <v>265</v>
      </c>
      <c r="M122" s="28" t="s">
        <v>247</v>
      </c>
      <c r="N122" s="28" t="s">
        <v>188</v>
      </c>
      <c r="O122" s="28" t="s">
        <v>130</v>
      </c>
      <c r="P122" s="28" t="str">
        <f t="shared" si="4"/>
        <v/>
      </c>
      <c r="Q122" s="29">
        <v>4</v>
      </c>
      <c r="R122" s="29">
        <v>37</v>
      </c>
      <c r="S122" s="28" t="s">
        <v>364</v>
      </c>
      <c r="T122" s="30" t="str">
        <f>_xlfn.CONCAT(Table5[[#This Row],[OrderID]]," | ",Table5[[#This Row],[City]]," | ",Table5[[#This Row],[ItemName]])</f>
        <v>ORD-1120 | Kathmandu | Chocolate Pastry</v>
      </c>
      <c r="U122" s="30" t="str">
        <f>UPPER(Table5[[#This Row],[City]])</f>
        <v>KATHMANDU</v>
      </c>
      <c r="V122" s="30" t="str">
        <f>LOWER(Table5[[#This Row],[PaymentMethod]])</f>
        <v>ime pay</v>
      </c>
      <c r="W122" s="30" cm="1">
        <f t="array" ref="W122">_xlfn.XLOOKUP(TRIM(Table5[[#This Row],[ItemName]]), TRIM(Menu_Price_List_tbl[ItemName]),Menu_Price_List_tbl[UnitPrice_NPR])</f>
        <v>150</v>
      </c>
      <c r="X122" s="31">
        <f t="shared" si="5"/>
        <v>450</v>
      </c>
      <c r="Y122" s="30">
        <f>_xlfn.XLOOKUP(Table5[[#This Row],[City]],City_Delivery_Fee_tbl[City],City_Delivery_Fee_tbl[BaseDeliveryFee_NPR])</f>
        <v>50</v>
      </c>
      <c r="Z12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45</v>
      </c>
      <c r="AA122" s="31">
        <f>Table5[[#This Row],[Order Amount]]+Table5[[#This Row],[Delivery Fee]]-Table5[[#This Row],[Discount Amount]]</f>
        <v>455</v>
      </c>
      <c r="AB122" s="30" t="str">
        <f>_xlfn.XLOOKUP(Table5[[#This Row],[RiderID]], Rider_Directory!$F$2:$F$26, Rider_Directory!$B$2:$B$26)</f>
        <v>Kathmandu</v>
      </c>
      <c r="AC122" s="30" t="str" cm="1">
        <f t="array" ref="AC122">_xlfn.IFS(Table5[[#This Row],[Final Amount]]&lt;500, "Small", Table5[[#This Row],[Final Amount]]&lt;=1000, "Medium", Table5[[#This Row],[Final Amount]]&gt;1000, "Large")</f>
        <v>Small</v>
      </c>
      <c r="AD122" s="30" t="str">
        <f>_xlfn.LET(_xlpm.expiry,_xlfn.XLOOKUP(Table5[[#This Row],[PromoCode]],Promo_Codes!$A$2:$A$9,Promo_Codes!$F$2:$F$9,DATE(2099,1,1)),IF(Table5[[#This Row],[OrderDate]]&gt;_xlpm.expiry,"Expired Code Used","Valid"))</f>
        <v>Valid</v>
      </c>
    </row>
    <row r="123" spans="1:30" x14ac:dyDescent="0.3">
      <c r="A123" s="28" t="s">
        <v>1041</v>
      </c>
      <c r="B123" s="27">
        <v>45956</v>
      </c>
      <c r="C123" s="28" t="s">
        <v>1156</v>
      </c>
      <c r="D123" s="28" t="s">
        <v>1287</v>
      </c>
      <c r="E123" s="27">
        <v>45845</v>
      </c>
      <c r="F123" s="27" t="str">
        <f t="shared" si="3"/>
        <v>Returning</v>
      </c>
      <c r="G123" s="28" t="s">
        <v>177</v>
      </c>
      <c r="H123" s="28" t="s">
        <v>245</v>
      </c>
      <c r="I123" s="28" t="s">
        <v>233</v>
      </c>
      <c r="J123" s="28" t="s">
        <v>276</v>
      </c>
      <c r="K123" s="29">
        <v>2</v>
      </c>
      <c r="L123" s="28" t="s">
        <v>713</v>
      </c>
      <c r="M123" s="28" t="s">
        <v>140</v>
      </c>
      <c r="N123" s="28"/>
      <c r="O123" s="28" t="s">
        <v>130</v>
      </c>
      <c r="P123" s="28" t="str">
        <f t="shared" si="4"/>
        <v/>
      </c>
      <c r="Q123" s="29">
        <v>4</v>
      </c>
      <c r="R123" s="29">
        <v>26</v>
      </c>
      <c r="S123" s="28" t="s">
        <v>291</v>
      </c>
      <c r="T123" s="30" t="str">
        <f>_xlfn.CONCAT(Table5[[#This Row],[OrderID]]," | ",Table5[[#This Row],[City]]," | ",Table5[[#This Row],[ItemName]])</f>
        <v>ORD-1121 | Bhaktapur | Chicken Momo (Steamed)</v>
      </c>
      <c r="U123" s="30" t="str">
        <f>UPPER(Table5[[#This Row],[City]])</f>
        <v>BHAKTAPUR</v>
      </c>
      <c r="V123" s="30" t="str">
        <f>LOWER(Table5[[#This Row],[PaymentMethod]])</f>
        <v>cash on delivery</v>
      </c>
      <c r="W123" s="30" cm="1">
        <f t="array" ref="W123">_xlfn.XLOOKUP(TRIM(Table5[[#This Row],[ItemName]]), TRIM(Menu_Price_List_tbl[ItemName]),Menu_Price_List_tbl[UnitPrice_NPR])</f>
        <v>190</v>
      </c>
      <c r="X123" s="31">
        <f t="shared" si="5"/>
        <v>380</v>
      </c>
      <c r="Y123" s="30">
        <f>_xlfn.XLOOKUP(Table5[[#This Row],[City]],City_Delivery_Fee_tbl[City],City_Delivery_Fee_tbl[BaseDeliveryFee_NPR])</f>
        <v>55</v>
      </c>
      <c r="Z12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23" s="31">
        <f>Table5[[#This Row],[Order Amount]]+Table5[[#This Row],[Delivery Fee]]-Table5[[#This Row],[Discount Amount]]</f>
        <v>435</v>
      </c>
      <c r="AB123" s="30" t="str">
        <f>_xlfn.XLOOKUP(Table5[[#This Row],[RiderID]], Rider_Directory!$F$2:$F$26, Rider_Directory!$B$2:$B$26)</f>
        <v>Bhaktapur</v>
      </c>
      <c r="AC123" s="30" t="str" cm="1">
        <f t="array" ref="AC123">_xlfn.IFS(Table5[[#This Row],[Final Amount]]&lt;500, "Small", Table5[[#This Row],[Final Amount]]&lt;=1000, "Medium", Table5[[#This Row],[Final Amount]]&gt;1000, "Large")</f>
        <v>Small</v>
      </c>
      <c r="AD123" s="30" t="str">
        <f>_xlfn.LET(_xlpm.expiry,_xlfn.XLOOKUP(Table5[[#This Row],[PromoCode]],Promo_Codes!$A$2:$A$9,Promo_Codes!$F$2:$F$9,DATE(2099,1,1)),IF(Table5[[#This Row],[OrderDate]]&gt;_xlpm.expiry,"Expired Code Used","Valid"))</f>
        <v>Valid</v>
      </c>
    </row>
    <row r="124" spans="1:30" x14ac:dyDescent="0.3">
      <c r="A124" s="28" t="s">
        <v>968</v>
      </c>
      <c r="B124" s="27">
        <v>45956</v>
      </c>
      <c r="C124" s="28" t="s">
        <v>355</v>
      </c>
      <c r="D124" s="28" t="s">
        <v>1285</v>
      </c>
      <c r="E124" s="27">
        <v>45956</v>
      </c>
      <c r="F124" s="27" t="str">
        <f t="shared" si="3"/>
        <v>New</v>
      </c>
      <c r="G124" s="28" t="s">
        <v>170</v>
      </c>
      <c r="H124" s="28" t="s">
        <v>538</v>
      </c>
      <c r="I124" s="28" t="s">
        <v>351</v>
      </c>
      <c r="J124" s="28" t="s">
        <v>352</v>
      </c>
      <c r="K124" s="29">
        <v>1</v>
      </c>
      <c r="L124" s="28" t="s">
        <v>173</v>
      </c>
      <c r="M124" s="28" t="s">
        <v>128</v>
      </c>
      <c r="N124" s="28" t="s">
        <v>182</v>
      </c>
      <c r="O124" s="28" t="s">
        <v>130</v>
      </c>
      <c r="P124" s="28" t="str">
        <f t="shared" si="4"/>
        <v/>
      </c>
      <c r="Q124" s="29">
        <v>3</v>
      </c>
      <c r="R124" s="29">
        <v>61</v>
      </c>
      <c r="S124" s="28"/>
      <c r="T124" s="30" t="str">
        <f>_xlfn.CONCAT(Table5[[#This Row],[OrderID]]," | ",Table5[[#This Row],[City]]," | ",Table5[[#This Row],[ItemName]])</f>
        <v>ORD-1122 | Butwal | Buff Sekuwa</v>
      </c>
      <c r="U124" s="30" t="str">
        <f>UPPER(Table5[[#This Row],[City]])</f>
        <v>BUTWAL</v>
      </c>
      <c r="V124" s="30" t="str">
        <f>LOWER(Table5[[#This Row],[PaymentMethod]])</f>
        <v>esewa</v>
      </c>
      <c r="W124" s="30" cm="1">
        <f t="array" ref="W124">_xlfn.XLOOKUP(TRIM(Table5[[#This Row],[ItemName]]), TRIM(Menu_Price_List_tbl[ItemName]),Menu_Price_List_tbl[UnitPrice_NPR])</f>
        <v>380</v>
      </c>
      <c r="X124" s="31">
        <f t="shared" si="5"/>
        <v>380</v>
      </c>
      <c r="Y124" s="30">
        <f>_xlfn.XLOOKUP(Table5[[#This Row],[City]],City_Delivery_Fee_tbl[City],City_Delivery_Fee_tbl[BaseDeliveryFee_NPR])</f>
        <v>85</v>
      </c>
      <c r="Z12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57</v>
      </c>
      <c r="AA124" s="31">
        <f>Table5[[#This Row],[Order Amount]]+Table5[[#This Row],[Delivery Fee]]-Table5[[#This Row],[Discount Amount]]</f>
        <v>408</v>
      </c>
      <c r="AB124" s="30" t="str">
        <f>_xlfn.XLOOKUP(Table5[[#This Row],[RiderID]], Rider_Directory!$F$2:$F$26, Rider_Directory!$B$2:$B$26)</f>
        <v>Butwal</v>
      </c>
      <c r="AC124" s="30" t="str" cm="1">
        <f t="array" ref="AC124">_xlfn.IFS(Table5[[#This Row],[Final Amount]]&lt;500, "Small", Table5[[#This Row],[Final Amount]]&lt;=1000, "Medium", Table5[[#This Row],[Final Amount]]&gt;1000, "Large")</f>
        <v>Small</v>
      </c>
      <c r="AD124" s="30" t="str">
        <f>_xlfn.LET(_xlpm.expiry,_xlfn.XLOOKUP(Table5[[#This Row],[PromoCode]],Promo_Codes!$A$2:$A$9,Promo_Codes!$F$2:$F$9,DATE(2099,1,1)),IF(Table5[[#This Row],[OrderDate]]&gt;_xlpm.expiry,"Expired Code Used","Valid"))</f>
        <v>Valid</v>
      </c>
    </row>
    <row r="125" spans="1:30" x14ac:dyDescent="0.3">
      <c r="A125" s="28" t="s">
        <v>911</v>
      </c>
      <c r="B125" s="27">
        <v>45956</v>
      </c>
      <c r="C125" s="28" t="s">
        <v>1146</v>
      </c>
      <c r="D125" s="28" t="s">
        <v>1264</v>
      </c>
      <c r="E125" s="27">
        <v>45722</v>
      </c>
      <c r="F125" s="27" t="str">
        <f t="shared" si="3"/>
        <v>Returning</v>
      </c>
      <c r="G125" s="28" t="s">
        <v>135</v>
      </c>
      <c r="H125" s="28" t="s">
        <v>178</v>
      </c>
      <c r="I125" s="28" t="s">
        <v>179</v>
      </c>
      <c r="J125" s="28" t="s">
        <v>180</v>
      </c>
      <c r="K125" s="29">
        <v>4</v>
      </c>
      <c r="L125" s="28" t="s">
        <v>218</v>
      </c>
      <c r="M125" s="28" t="s">
        <v>140</v>
      </c>
      <c r="N125" s="28" t="s">
        <v>182</v>
      </c>
      <c r="O125" s="28" t="s">
        <v>130</v>
      </c>
      <c r="P125" s="28" t="str">
        <f t="shared" si="4"/>
        <v/>
      </c>
      <c r="Q125" s="29">
        <v>4</v>
      </c>
      <c r="R125" s="29">
        <v>28</v>
      </c>
      <c r="S125" s="28"/>
      <c r="T125" s="30" t="str">
        <f>_xlfn.CONCAT(Table5[[#This Row],[OrderID]]," | ",Table5[[#This Row],[City]]," | ",Table5[[#This Row],[ItemName]])</f>
        <v>ORD-1123 | Kathmandu | Veg Fried Rice</v>
      </c>
      <c r="U125" s="30" t="str">
        <f>UPPER(Table5[[#This Row],[City]])</f>
        <v>KATHMANDU</v>
      </c>
      <c r="V125" s="30" t="str">
        <f>LOWER(Table5[[#This Row],[PaymentMethod]])</f>
        <v>cash on delivery</v>
      </c>
      <c r="W125" s="30" cm="1">
        <f t="array" ref="W125">_xlfn.XLOOKUP(TRIM(Table5[[#This Row],[ItemName]]), TRIM(Menu_Price_List_tbl[ItemName]),Menu_Price_List_tbl[UnitPrice_NPR])</f>
        <v>220</v>
      </c>
      <c r="X125" s="31">
        <f t="shared" si="5"/>
        <v>880</v>
      </c>
      <c r="Y125" s="30">
        <f>_xlfn.XLOOKUP(Table5[[#This Row],[City]],City_Delivery_Fee_tbl[City],City_Delivery_Fee_tbl[BaseDeliveryFee_NPR])</f>
        <v>50</v>
      </c>
      <c r="Z12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132</v>
      </c>
      <c r="AA125" s="31">
        <f>Table5[[#This Row],[Order Amount]]+Table5[[#This Row],[Delivery Fee]]-Table5[[#This Row],[Discount Amount]]</f>
        <v>798</v>
      </c>
      <c r="AB125" s="30" t="str">
        <f>_xlfn.XLOOKUP(Table5[[#This Row],[RiderID]], Rider_Directory!$F$2:$F$26, Rider_Directory!$B$2:$B$26)</f>
        <v>Kathmandu</v>
      </c>
      <c r="AC125" s="30" t="str" cm="1">
        <f t="array" ref="AC125">_xlfn.IFS(Table5[[#This Row],[Final Amount]]&lt;500, "Small", Table5[[#This Row],[Final Amount]]&lt;=1000, "Medium", Table5[[#This Row],[Final Amount]]&gt;1000, "Large")</f>
        <v>Medium</v>
      </c>
      <c r="AD125" s="30" t="str">
        <f>_xlfn.LET(_xlpm.expiry,_xlfn.XLOOKUP(Table5[[#This Row],[PromoCode]],Promo_Codes!$A$2:$A$9,Promo_Codes!$F$2:$F$9,DATE(2099,1,1)),IF(Table5[[#This Row],[OrderDate]]&gt;_xlpm.expiry,"Expired Code Used","Valid"))</f>
        <v>Valid</v>
      </c>
    </row>
    <row r="126" spans="1:30" x14ac:dyDescent="0.3">
      <c r="A126" s="28" t="s">
        <v>911</v>
      </c>
      <c r="B126" s="27">
        <v>45956</v>
      </c>
      <c r="C126" s="28" t="s">
        <v>1146</v>
      </c>
      <c r="D126" s="28" t="s">
        <v>1264</v>
      </c>
      <c r="E126" s="27">
        <v>45722</v>
      </c>
      <c r="F126" s="27" t="str">
        <f t="shared" si="3"/>
        <v>Returning</v>
      </c>
      <c r="G126" s="28" t="s">
        <v>135</v>
      </c>
      <c r="H126" s="28" t="s">
        <v>178</v>
      </c>
      <c r="I126" s="28" t="s">
        <v>179</v>
      </c>
      <c r="J126" s="28" t="s">
        <v>180</v>
      </c>
      <c r="K126" s="29">
        <v>3</v>
      </c>
      <c r="L126" s="28" t="s">
        <v>218</v>
      </c>
      <c r="M126" s="28" t="s">
        <v>140</v>
      </c>
      <c r="N126" s="28" t="s">
        <v>182</v>
      </c>
      <c r="O126" s="28" t="s">
        <v>130</v>
      </c>
      <c r="P126" s="28" t="str">
        <f t="shared" si="4"/>
        <v/>
      </c>
      <c r="Q126" s="28"/>
      <c r="R126" s="29">
        <v>28</v>
      </c>
      <c r="S126" s="28"/>
      <c r="T126" s="30" t="str">
        <f>_xlfn.CONCAT(Table5[[#This Row],[OrderID]]," | ",Table5[[#This Row],[City]]," | ",Table5[[#This Row],[ItemName]])</f>
        <v>ORD-1123 | Kathmandu | Veg Fried Rice</v>
      </c>
      <c r="U126" s="30" t="str">
        <f>UPPER(Table5[[#This Row],[City]])</f>
        <v>KATHMANDU</v>
      </c>
      <c r="V126" s="30" t="str">
        <f>LOWER(Table5[[#This Row],[PaymentMethod]])</f>
        <v>cash on delivery</v>
      </c>
      <c r="W126" s="30" cm="1">
        <f t="array" ref="W126">_xlfn.XLOOKUP(TRIM(Table5[[#This Row],[ItemName]]), TRIM(Menu_Price_List_tbl[ItemName]),Menu_Price_List_tbl[UnitPrice_NPR])</f>
        <v>220</v>
      </c>
      <c r="X126" s="31">
        <f t="shared" si="5"/>
        <v>660</v>
      </c>
      <c r="Y126" s="30">
        <f>_xlfn.XLOOKUP(Table5[[#This Row],[City]],City_Delivery_Fee_tbl[City],City_Delivery_Fee_tbl[BaseDeliveryFee_NPR])</f>
        <v>50</v>
      </c>
      <c r="Z12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99</v>
      </c>
      <c r="AA126" s="31">
        <f>Table5[[#This Row],[Order Amount]]+Table5[[#This Row],[Delivery Fee]]-Table5[[#This Row],[Discount Amount]]</f>
        <v>611</v>
      </c>
      <c r="AB126" s="30" t="str">
        <f>_xlfn.XLOOKUP(Table5[[#This Row],[RiderID]], Rider_Directory!$F$2:$F$26, Rider_Directory!$B$2:$B$26)</f>
        <v>Kathmandu</v>
      </c>
      <c r="AC126" s="30" t="str" cm="1">
        <f t="array" ref="AC126">_xlfn.IFS(Table5[[#This Row],[Final Amount]]&lt;500, "Small", Table5[[#This Row],[Final Amount]]&lt;=1000, "Medium", Table5[[#This Row],[Final Amount]]&gt;1000, "Large")</f>
        <v>Medium</v>
      </c>
      <c r="AD126" s="30" t="str">
        <f>_xlfn.LET(_xlpm.expiry,_xlfn.XLOOKUP(Table5[[#This Row],[PromoCode]],Promo_Codes!$A$2:$A$9,Promo_Codes!$F$2:$F$9,DATE(2099,1,1)),IF(Table5[[#This Row],[OrderDate]]&gt;_xlpm.expiry,"Expired Code Used","Valid"))</f>
        <v>Valid</v>
      </c>
    </row>
    <row r="127" spans="1:30" x14ac:dyDescent="0.3">
      <c r="A127" s="28" t="s">
        <v>627</v>
      </c>
      <c r="B127" s="27">
        <v>45956</v>
      </c>
      <c r="C127" s="28" t="s">
        <v>1131</v>
      </c>
      <c r="D127" s="28" t="s">
        <v>1242</v>
      </c>
      <c r="E127" s="27">
        <v>45956</v>
      </c>
      <c r="F127" s="27" t="str">
        <f t="shared" si="3"/>
        <v>New</v>
      </c>
      <c r="G127" s="28" t="s">
        <v>135</v>
      </c>
      <c r="H127" s="28" t="s">
        <v>199</v>
      </c>
      <c r="I127" s="28" t="s">
        <v>179</v>
      </c>
      <c r="J127" s="28" t="s">
        <v>629</v>
      </c>
      <c r="K127" s="29">
        <v>2</v>
      </c>
      <c r="L127" s="28" t="s">
        <v>223</v>
      </c>
      <c r="M127" s="28" t="s">
        <v>128</v>
      </c>
      <c r="N127" s="28" t="s">
        <v>182</v>
      </c>
      <c r="O127" s="28" t="s">
        <v>130</v>
      </c>
      <c r="P127" s="28" t="str">
        <f t="shared" si="4"/>
        <v/>
      </c>
      <c r="Q127" s="29">
        <v>5</v>
      </c>
      <c r="R127" s="29">
        <v>24</v>
      </c>
      <c r="S127" s="28" t="s">
        <v>141</v>
      </c>
      <c r="T127" s="30" t="str">
        <f>_xlfn.CONCAT(Table5[[#This Row],[OrderID]]," | ",Table5[[#This Row],[City]]," | ",Table5[[#This Row],[ItemName]])</f>
        <v>ORD-1124 | Kathmandu |   Chicken Burger</v>
      </c>
      <c r="U127" s="30" t="str">
        <f>UPPER(Table5[[#This Row],[City]])</f>
        <v>KATHMANDU</v>
      </c>
      <c r="V127" s="30" t="str">
        <f>LOWER(Table5[[#This Row],[PaymentMethod]])</f>
        <v>esewa</v>
      </c>
      <c r="W127" s="30" cm="1">
        <f t="array" ref="W127">_xlfn.XLOOKUP(TRIM(Table5[[#This Row],[ItemName]]), TRIM(Menu_Price_List_tbl[ItemName]),Menu_Price_List_tbl[UnitPrice_NPR])</f>
        <v>280</v>
      </c>
      <c r="X127" s="31">
        <f t="shared" si="5"/>
        <v>560</v>
      </c>
      <c r="Y127" s="30">
        <f>_xlfn.XLOOKUP(Table5[[#This Row],[City]],City_Delivery_Fee_tbl[City],City_Delivery_Fee_tbl[BaseDeliveryFee_NPR])</f>
        <v>50</v>
      </c>
      <c r="Z12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84</v>
      </c>
      <c r="AA127" s="31">
        <f>Table5[[#This Row],[Order Amount]]+Table5[[#This Row],[Delivery Fee]]-Table5[[#This Row],[Discount Amount]]</f>
        <v>526</v>
      </c>
      <c r="AB127" s="30" t="str">
        <f>_xlfn.XLOOKUP(Table5[[#This Row],[RiderID]], Rider_Directory!$F$2:$F$26, Rider_Directory!$B$2:$B$26)</f>
        <v>Kathmandu</v>
      </c>
      <c r="AC127" s="30" t="str" cm="1">
        <f t="array" ref="AC127">_xlfn.IFS(Table5[[#This Row],[Final Amount]]&lt;500, "Small", Table5[[#This Row],[Final Amount]]&lt;=1000, "Medium", Table5[[#This Row],[Final Amount]]&gt;1000, "Large")</f>
        <v>Medium</v>
      </c>
      <c r="AD127" s="30" t="str">
        <f>_xlfn.LET(_xlpm.expiry,_xlfn.XLOOKUP(Table5[[#This Row],[PromoCode]],Promo_Codes!$A$2:$A$9,Promo_Codes!$F$2:$F$9,DATE(2099,1,1)),IF(Table5[[#This Row],[OrderDate]]&gt;_xlpm.expiry,"Expired Code Used","Valid"))</f>
        <v>Valid</v>
      </c>
    </row>
    <row r="128" spans="1:30" x14ac:dyDescent="0.3">
      <c r="A128" s="28" t="s">
        <v>845</v>
      </c>
      <c r="B128" s="27">
        <v>45956</v>
      </c>
      <c r="C128" s="28" t="s">
        <v>274</v>
      </c>
      <c r="D128" s="28" t="s">
        <v>1182</v>
      </c>
      <c r="E128" s="27">
        <v>45956</v>
      </c>
      <c r="F128" s="27" t="str">
        <f t="shared" si="3"/>
        <v>New</v>
      </c>
      <c r="G128" s="28" t="s">
        <v>145</v>
      </c>
      <c r="H128" s="28" t="s">
        <v>331</v>
      </c>
      <c r="I128" s="28" t="s">
        <v>164</v>
      </c>
      <c r="J128" s="28" t="s">
        <v>327</v>
      </c>
      <c r="K128" s="29">
        <v>2</v>
      </c>
      <c r="L128" s="28" t="s">
        <v>450</v>
      </c>
      <c r="M128" s="28" t="s">
        <v>159</v>
      </c>
      <c r="N128" s="28" t="s">
        <v>182</v>
      </c>
      <c r="O128" s="28" t="s">
        <v>130</v>
      </c>
      <c r="P128" s="28" t="str">
        <f t="shared" si="4"/>
        <v/>
      </c>
      <c r="Q128" s="29">
        <v>2</v>
      </c>
      <c r="R128" s="29">
        <v>64</v>
      </c>
      <c r="S128" s="28"/>
      <c r="T128" s="30" t="str">
        <f>_xlfn.CONCAT(Table5[[#This Row],[OrderID]]," | ",Table5[[#This Row],[City]]," | ",Table5[[#This Row],[ItemName]])</f>
        <v>ORD-1125 | Chitwan | Milk Tea</v>
      </c>
      <c r="U128" s="30" t="str">
        <f>UPPER(Table5[[#This Row],[City]])</f>
        <v>CHITWAN</v>
      </c>
      <c r="V128" s="30" t="str">
        <f>LOWER(Table5[[#This Row],[PaymentMethod]])</f>
        <v>khalti</v>
      </c>
      <c r="W128" s="30" cm="1">
        <f t="array" ref="W128">_xlfn.XLOOKUP(TRIM(Table5[[#This Row],[ItemName]]), TRIM(Menu_Price_List_tbl[ItemName]),Menu_Price_List_tbl[UnitPrice_NPR])</f>
        <v>60</v>
      </c>
      <c r="X128" s="31">
        <f t="shared" si="5"/>
        <v>120</v>
      </c>
      <c r="Y128" s="30">
        <f>_xlfn.XLOOKUP(Table5[[#This Row],[City]],City_Delivery_Fee_tbl[City],City_Delivery_Fee_tbl[BaseDeliveryFee_NPR])</f>
        <v>80</v>
      </c>
      <c r="Z12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18</v>
      </c>
      <c r="AA128" s="31">
        <f>Table5[[#This Row],[Order Amount]]+Table5[[#This Row],[Delivery Fee]]-Table5[[#This Row],[Discount Amount]]</f>
        <v>182</v>
      </c>
      <c r="AB128" s="30" t="str">
        <f>_xlfn.XLOOKUP(Table5[[#This Row],[RiderID]], Rider_Directory!$F$2:$F$26, Rider_Directory!$B$2:$B$26)</f>
        <v>Chitwan</v>
      </c>
      <c r="AC128" s="30" t="str" cm="1">
        <f t="array" ref="AC128">_xlfn.IFS(Table5[[#This Row],[Final Amount]]&lt;500, "Small", Table5[[#This Row],[Final Amount]]&lt;=1000, "Medium", Table5[[#This Row],[Final Amount]]&gt;1000, "Large")</f>
        <v>Small</v>
      </c>
      <c r="AD128" s="30" t="str">
        <f>_xlfn.LET(_xlpm.expiry,_xlfn.XLOOKUP(Table5[[#This Row],[PromoCode]],Promo_Codes!$A$2:$A$9,Promo_Codes!$F$2:$F$9,DATE(2099,1,1)),IF(Table5[[#This Row],[OrderDate]]&gt;_xlpm.expiry,"Expired Code Used","Valid"))</f>
        <v>Valid</v>
      </c>
    </row>
    <row r="129" spans="1:30" x14ac:dyDescent="0.3">
      <c r="A129" s="28" t="s">
        <v>854</v>
      </c>
      <c r="B129" s="27">
        <v>45956</v>
      </c>
      <c r="C129" s="28" t="s">
        <v>789</v>
      </c>
      <c r="D129" s="28" t="s">
        <v>1198</v>
      </c>
      <c r="E129" s="27">
        <v>45956</v>
      </c>
      <c r="F129" s="27" t="str">
        <f t="shared" si="3"/>
        <v>New</v>
      </c>
      <c r="G129" s="28" t="s">
        <v>145</v>
      </c>
      <c r="H129" s="28" t="s">
        <v>199</v>
      </c>
      <c r="I129" s="28" t="s">
        <v>179</v>
      </c>
      <c r="J129" s="28" t="s">
        <v>421</v>
      </c>
      <c r="K129" s="29">
        <v>2</v>
      </c>
      <c r="L129" s="28" t="s">
        <v>307</v>
      </c>
      <c r="M129" s="28" t="s">
        <v>159</v>
      </c>
      <c r="N129" s="28" t="s">
        <v>182</v>
      </c>
      <c r="O129" s="28" t="s">
        <v>130</v>
      </c>
      <c r="P129" s="28" t="str">
        <f t="shared" si="4"/>
        <v/>
      </c>
      <c r="Q129" s="29">
        <v>4</v>
      </c>
      <c r="R129" s="29">
        <v>47</v>
      </c>
      <c r="S129" s="28" t="s">
        <v>131</v>
      </c>
      <c r="T129" s="30" t="str">
        <f>_xlfn.CONCAT(Table5[[#This Row],[OrderID]]," | ",Table5[[#This Row],[City]]," | ",Table5[[#This Row],[ItemName]])</f>
        <v>ORD-1126 | Chitwan | Chicken Burger</v>
      </c>
      <c r="U129" s="30" t="str">
        <f>UPPER(Table5[[#This Row],[City]])</f>
        <v>CHITWAN</v>
      </c>
      <c r="V129" s="30" t="str">
        <f>LOWER(Table5[[#This Row],[PaymentMethod]])</f>
        <v>khalti</v>
      </c>
      <c r="W129" s="30" cm="1">
        <f t="array" ref="W129">_xlfn.XLOOKUP(TRIM(Table5[[#This Row],[ItemName]]), TRIM(Menu_Price_List_tbl[ItemName]),Menu_Price_List_tbl[UnitPrice_NPR])</f>
        <v>280</v>
      </c>
      <c r="X129" s="31">
        <f t="shared" si="5"/>
        <v>560</v>
      </c>
      <c r="Y129" s="30">
        <f>_xlfn.XLOOKUP(Table5[[#This Row],[City]],City_Delivery_Fee_tbl[City],City_Delivery_Fee_tbl[BaseDeliveryFee_NPR])</f>
        <v>80</v>
      </c>
      <c r="Z12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84</v>
      </c>
      <c r="AA129" s="31">
        <f>Table5[[#This Row],[Order Amount]]+Table5[[#This Row],[Delivery Fee]]-Table5[[#This Row],[Discount Amount]]</f>
        <v>556</v>
      </c>
      <c r="AB129" s="30" t="str">
        <f>_xlfn.XLOOKUP(Table5[[#This Row],[RiderID]], Rider_Directory!$F$2:$F$26, Rider_Directory!$B$2:$B$26)</f>
        <v>Chitwan</v>
      </c>
      <c r="AC129" s="30" t="str" cm="1">
        <f t="array" ref="AC129">_xlfn.IFS(Table5[[#This Row],[Final Amount]]&lt;500, "Small", Table5[[#This Row],[Final Amount]]&lt;=1000, "Medium", Table5[[#This Row],[Final Amount]]&gt;1000, "Large")</f>
        <v>Medium</v>
      </c>
      <c r="AD129" s="30" t="str">
        <f>_xlfn.LET(_xlpm.expiry,_xlfn.XLOOKUP(Table5[[#This Row],[PromoCode]],Promo_Codes!$A$2:$A$9,Promo_Codes!$F$2:$F$9,DATE(2099,1,1)),IF(Table5[[#This Row],[OrderDate]]&gt;_xlpm.expiry,"Expired Code Used","Valid"))</f>
        <v>Valid</v>
      </c>
    </row>
    <row r="130" spans="1:30" x14ac:dyDescent="0.3">
      <c r="A130" s="28" t="s">
        <v>950</v>
      </c>
      <c r="B130" s="27">
        <v>45956</v>
      </c>
      <c r="C130" s="28" t="s">
        <v>1155</v>
      </c>
      <c r="D130" s="28" t="s">
        <v>1282</v>
      </c>
      <c r="E130" s="27">
        <v>45956</v>
      </c>
      <c r="F130" s="27" t="str">
        <f t="shared" ref="F130:F193" si="6">IF(B130-E130&lt;=2,"New","Returning")</f>
        <v>New</v>
      </c>
      <c r="G130" s="28" t="s">
        <v>145</v>
      </c>
      <c r="H130" s="28" t="s">
        <v>178</v>
      </c>
      <c r="I130" s="28" t="s">
        <v>179</v>
      </c>
      <c r="J130" s="28" t="s">
        <v>368</v>
      </c>
      <c r="K130" s="29">
        <v>1</v>
      </c>
      <c r="L130" s="28" t="s">
        <v>149</v>
      </c>
      <c r="M130" s="28" t="s">
        <v>140</v>
      </c>
      <c r="N130" s="28"/>
      <c r="O130" s="28" t="s">
        <v>235</v>
      </c>
      <c r="P130" s="28" t="str">
        <f t="shared" ref="P130:P193" si="7">IF(O130=""," NEED REVIEW","")</f>
        <v/>
      </c>
      <c r="Q130" s="28"/>
      <c r="R130" s="29">
        <v>71</v>
      </c>
      <c r="S130" s="28"/>
      <c r="T130" s="30" t="str">
        <f>_xlfn.CONCAT(Table5[[#This Row],[OrderID]]," | ",Table5[[#This Row],[City]]," | ",Table5[[#This Row],[ItemName]])</f>
        <v>ORD-1127 | Chitwan | Veg Burger</v>
      </c>
      <c r="U130" s="30" t="str">
        <f>UPPER(Table5[[#This Row],[City]])</f>
        <v>CHITWAN</v>
      </c>
      <c r="V130" s="30" t="str">
        <f>LOWER(Table5[[#This Row],[PaymentMethod]])</f>
        <v>cash on delivery</v>
      </c>
      <c r="W130" s="30" cm="1">
        <f t="array" ref="W130">_xlfn.XLOOKUP(TRIM(Table5[[#This Row],[ItemName]]), TRIM(Menu_Price_List_tbl[ItemName]),Menu_Price_List_tbl[UnitPrice_NPR])</f>
        <v>220</v>
      </c>
      <c r="X130" s="31">
        <f t="shared" ref="X130:X193" si="8">W130*K130</f>
        <v>220</v>
      </c>
      <c r="Y130" s="30">
        <f>_xlfn.XLOOKUP(Table5[[#This Row],[City]],City_Delivery_Fee_tbl[City],City_Delivery_Fee_tbl[BaseDeliveryFee_NPR])</f>
        <v>80</v>
      </c>
      <c r="Z13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30" s="31">
        <f>Table5[[#This Row],[Order Amount]]+Table5[[#This Row],[Delivery Fee]]-Table5[[#This Row],[Discount Amount]]</f>
        <v>300</v>
      </c>
      <c r="AB130" s="30" t="str">
        <f>_xlfn.XLOOKUP(Table5[[#This Row],[RiderID]], Rider_Directory!$F$2:$F$26, Rider_Directory!$B$2:$B$26)</f>
        <v>Chitwan</v>
      </c>
      <c r="AC130" s="30" t="str" cm="1">
        <f t="array" ref="AC130">_xlfn.IFS(Table5[[#This Row],[Final Amount]]&lt;500, "Small", Table5[[#This Row],[Final Amount]]&lt;=1000, "Medium", Table5[[#This Row],[Final Amount]]&gt;1000, "Large")</f>
        <v>Small</v>
      </c>
      <c r="AD130" s="30" t="str">
        <f>_xlfn.LET(_xlpm.expiry,_xlfn.XLOOKUP(Table5[[#This Row],[PromoCode]],Promo_Codes!$A$2:$A$9,Promo_Codes!$F$2:$F$9,DATE(2099,1,1)),IF(Table5[[#This Row],[OrderDate]]&gt;_xlpm.expiry,"Expired Code Used","Valid"))</f>
        <v>Valid</v>
      </c>
    </row>
    <row r="131" spans="1:30" x14ac:dyDescent="0.3">
      <c r="A131" s="28" t="s">
        <v>373</v>
      </c>
      <c r="B131" s="27"/>
      <c r="C131" s="28" t="s">
        <v>686</v>
      </c>
      <c r="D131" s="28" t="s">
        <v>1167</v>
      </c>
      <c r="E131" s="27">
        <v>45877</v>
      </c>
      <c r="F131" s="27" t="str">
        <f t="shared" si="6"/>
        <v>New</v>
      </c>
      <c r="G131" s="28" t="s">
        <v>135</v>
      </c>
      <c r="H131" s="28" t="s">
        <v>350</v>
      </c>
      <c r="I131" s="28" t="s">
        <v>351</v>
      </c>
      <c r="J131" s="28" t="s">
        <v>375</v>
      </c>
      <c r="K131" s="29">
        <v>1</v>
      </c>
      <c r="L131" s="28" t="s">
        <v>265</v>
      </c>
      <c r="M131" s="28" t="s">
        <v>159</v>
      </c>
      <c r="N131" s="28"/>
      <c r="O131" s="28" t="s">
        <v>130</v>
      </c>
      <c r="P131" s="28" t="str">
        <f t="shared" si="7"/>
        <v/>
      </c>
      <c r="Q131" s="29">
        <v>4</v>
      </c>
      <c r="R131" s="29">
        <v>39</v>
      </c>
      <c r="S131" s="28" t="s">
        <v>131</v>
      </c>
      <c r="T131" s="30" t="str">
        <f>_xlfn.CONCAT(Table5[[#This Row],[OrderID]]," | ",Table5[[#This Row],[City]]," | ",Table5[[#This Row],[ItemName]])</f>
        <v>ORD-1128 | Kathmandu |   Buff Sekuwa</v>
      </c>
      <c r="U131" s="30" t="str">
        <f>UPPER(Table5[[#This Row],[City]])</f>
        <v>KATHMANDU</v>
      </c>
      <c r="V131" s="30" t="str">
        <f>LOWER(Table5[[#This Row],[PaymentMethod]])</f>
        <v>khalti</v>
      </c>
      <c r="W131" s="30" cm="1">
        <f t="array" ref="W131">_xlfn.XLOOKUP(TRIM(Table5[[#This Row],[ItemName]]), TRIM(Menu_Price_List_tbl[ItemName]),Menu_Price_List_tbl[UnitPrice_NPR])</f>
        <v>380</v>
      </c>
      <c r="X131" s="31">
        <f t="shared" si="8"/>
        <v>380</v>
      </c>
      <c r="Y131" s="30">
        <f>_xlfn.XLOOKUP(Table5[[#This Row],[City]],City_Delivery_Fee_tbl[City],City_Delivery_Fee_tbl[BaseDeliveryFee_NPR])</f>
        <v>50</v>
      </c>
      <c r="Z13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31" s="31">
        <f>Table5[[#This Row],[Order Amount]]+Table5[[#This Row],[Delivery Fee]]-Table5[[#This Row],[Discount Amount]]</f>
        <v>430</v>
      </c>
      <c r="AB131" s="30" t="str">
        <f>_xlfn.XLOOKUP(Table5[[#This Row],[RiderID]], Rider_Directory!$F$2:$F$26, Rider_Directory!$B$2:$B$26)</f>
        <v>Kathmandu</v>
      </c>
      <c r="AC131" s="30" t="str" cm="1">
        <f t="array" ref="AC131">_xlfn.IFS(Table5[[#This Row],[Final Amount]]&lt;500, "Small", Table5[[#This Row],[Final Amount]]&lt;=1000, "Medium", Table5[[#This Row],[Final Amount]]&gt;1000, "Large")</f>
        <v>Small</v>
      </c>
      <c r="AD131" s="30" t="str">
        <f>_xlfn.LET(_xlpm.expiry,_xlfn.XLOOKUP(Table5[[#This Row],[PromoCode]],Promo_Codes!$A$2:$A$9,Promo_Codes!$F$2:$F$9,DATE(2099,1,1)),IF(Table5[[#This Row],[OrderDate]]&gt;_xlpm.expiry,"Expired Code Used","Valid"))</f>
        <v>Valid</v>
      </c>
    </row>
    <row r="132" spans="1:30" x14ac:dyDescent="0.3">
      <c r="A132" s="28" t="s">
        <v>766</v>
      </c>
      <c r="B132" s="27">
        <v>45957</v>
      </c>
      <c r="C132" s="28" t="s">
        <v>665</v>
      </c>
      <c r="D132" s="28" t="s">
        <v>1247</v>
      </c>
      <c r="E132" s="27">
        <v>45957</v>
      </c>
      <c r="F132" s="27" t="str">
        <f t="shared" si="6"/>
        <v>New</v>
      </c>
      <c r="G132" s="28" t="s">
        <v>135</v>
      </c>
      <c r="H132" s="28" t="s">
        <v>331</v>
      </c>
      <c r="I132" s="28" t="s">
        <v>164</v>
      </c>
      <c r="J132" s="28" t="s">
        <v>327</v>
      </c>
      <c r="K132" s="29">
        <v>1</v>
      </c>
      <c r="L132" s="28" t="s">
        <v>187</v>
      </c>
      <c r="M132" s="28" t="s">
        <v>128</v>
      </c>
      <c r="N132" s="28"/>
      <c r="O132" s="28" t="s">
        <v>130</v>
      </c>
      <c r="P132" s="28" t="str">
        <f t="shared" si="7"/>
        <v/>
      </c>
      <c r="Q132" s="29">
        <v>4</v>
      </c>
      <c r="R132" s="29">
        <v>29</v>
      </c>
      <c r="S132" s="28" t="s">
        <v>141</v>
      </c>
      <c r="T132" s="30" t="str">
        <f>_xlfn.CONCAT(Table5[[#This Row],[OrderID]]," | ",Table5[[#This Row],[City]]," | ",Table5[[#This Row],[ItemName]])</f>
        <v>ORD-1129 | Kathmandu | Milk Tea</v>
      </c>
      <c r="U132" s="30" t="str">
        <f>UPPER(Table5[[#This Row],[City]])</f>
        <v>KATHMANDU</v>
      </c>
      <c r="V132" s="30" t="str">
        <f>LOWER(Table5[[#This Row],[PaymentMethod]])</f>
        <v>esewa</v>
      </c>
      <c r="W132" s="30" cm="1">
        <f t="array" ref="W132">_xlfn.XLOOKUP(TRIM(Table5[[#This Row],[ItemName]]), TRIM(Menu_Price_List_tbl[ItemName]),Menu_Price_List_tbl[UnitPrice_NPR])</f>
        <v>60</v>
      </c>
      <c r="X132" s="31">
        <f t="shared" si="8"/>
        <v>60</v>
      </c>
      <c r="Y132" s="30">
        <f>_xlfn.XLOOKUP(Table5[[#This Row],[City]],City_Delivery_Fee_tbl[City],City_Delivery_Fee_tbl[BaseDeliveryFee_NPR])</f>
        <v>50</v>
      </c>
      <c r="Z13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32" s="31">
        <f>Table5[[#This Row],[Order Amount]]+Table5[[#This Row],[Delivery Fee]]-Table5[[#This Row],[Discount Amount]]</f>
        <v>110</v>
      </c>
      <c r="AB132" s="30" t="str">
        <f>_xlfn.XLOOKUP(Table5[[#This Row],[RiderID]], Rider_Directory!$F$2:$F$26, Rider_Directory!$B$2:$B$26)</f>
        <v>Kathmandu</v>
      </c>
      <c r="AC132" s="30" t="str" cm="1">
        <f t="array" ref="AC132">_xlfn.IFS(Table5[[#This Row],[Final Amount]]&lt;500, "Small", Table5[[#This Row],[Final Amount]]&lt;=1000, "Medium", Table5[[#This Row],[Final Amount]]&gt;1000, "Large")</f>
        <v>Small</v>
      </c>
      <c r="AD132" s="30" t="str">
        <f>_xlfn.LET(_xlpm.expiry,_xlfn.XLOOKUP(Table5[[#This Row],[PromoCode]],Promo_Codes!$A$2:$A$9,Promo_Codes!$F$2:$F$9,DATE(2099,1,1)),IF(Table5[[#This Row],[OrderDate]]&gt;_xlpm.expiry,"Expired Code Used","Valid"))</f>
        <v>Valid</v>
      </c>
    </row>
    <row r="133" spans="1:30" x14ac:dyDescent="0.3">
      <c r="A133" s="28" t="s">
        <v>436</v>
      </c>
      <c r="B133" s="27">
        <v>45957</v>
      </c>
      <c r="C133" s="28" t="s">
        <v>1128</v>
      </c>
      <c r="D133" s="28" t="s">
        <v>1211</v>
      </c>
      <c r="E133" s="27">
        <v>45956</v>
      </c>
      <c r="F133" s="27" t="str">
        <f t="shared" si="6"/>
        <v>New</v>
      </c>
      <c r="G133" s="28" t="s">
        <v>198</v>
      </c>
      <c r="H133" s="28" t="s">
        <v>136</v>
      </c>
      <c r="I133" s="28" t="s">
        <v>137</v>
      </c>
      <c r="J133" s="28" t="s">
        <v>439</v>
      </c>
      <c r="K133" s="29">
        <v>1</v>
      </c>
      <c r="L133" s="28" t="s">
        <v>201</v>
      </c>
      <c r="M133" s="28" t="s">
        <v>140</v>
      </c>
      <c r="N133" s="28"/>
      <c r="O133" s="28" t="s">
        <v>130</v>
      </c>
      <c r="P133" s="28" t="str">
        <f t="shared" si="7"/>
        <v/>
      </c>
      <c r="Q133" s="29">
        <v>5</v>
      </c>
      <c r="R133" s="29">
        <v>27</v>
      </c>
      <c r="S133" s="28" t="s">
        <v>141</v>
      </c>
      <c r="T133" s="30" t="str">
        <f>_xlfn.CONCAT(Table5[[#This Row],[OrderID]]," | ",Table5[[#This Row],[City]]," | ",Table5[[#This Row],[ItemName]])</f>
        <v>ORD-1130 | Lalitpur | MUTTON THAKALI SET</v>
      </c>
      <c r="U133" s="30" t="str">
        <f>UPPER(Table5[[#This Row],[City]])</f>
        <v>LALITPUR</v>
      </c>
      <c r="V133" s="30" t="str">
        <f>LOWER(Table5[[#This Row],[PaymentMethod]])</f>
        <v>cash on delivery</v>
      </c>
      <c r="W133" s="30" cm="1">
        <f t="array" ref="W133">_xlfn.XLOOKUP(TRIM(Table5[[#This Row],[ItemName]]), TRIM(Menu_Price_List_tbl[ItemName]),Menu_Price_List_tbl[UnitPrice_NPR])</f>
        <v>650</v>
      </c>
      <c r="X133" s="31">
        <f t="shared" si="8"/>
        <v>650</v>
      </c>
      <c r="Y133" s="30">
        <f>_xlfn.XLOOKUP(Table5[[#This Row],[City]],City_Delivery_Fee_tbl[City],City_Delivery_Fee_tbl[BaseDeliveryFee_NPR])</f>
        <v>50</v>
      </c>
      <c r="Z13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33" s="31">
        <f>Table5[[#This Row],[Order Amount]]+Table5[[#This Row],[Delivery Fee]]-Table5[[#This Row],[Discount Amount]]</f>
        <v>700</v>
      </c>
      <c r="AB133" s="30" t="str">
        <f>_xlfn.XLOOKUP(Table5[[#This Row],[RiderID]], Rider_Directory!$F$2:$F$26, Rider_Directory!$B$2:$B$26)</f>
        <v>Lalitpur</v>
      </c>
      <c r="AC133" s="30" t="str" cm="1">
        <f t="array" ref="AC133">_xlfn.IFS(Table5[[#This Row],[Final Amount]]&lt;500, "Small", Table5[[#This Row],[Final Amount]]&lt;=1000, "Medium", Table5[[#This Row],[Final Amount]]&gt;1000, "Large")</f>
        <v>Medium</v>
      </c>
      <c r="AD133" s="30" t="str">
        <f>_xlfn.LET(_xlpm.expiry,_xlfn.XLOOKUP(Table5[[#This Row],[PromoCode]],Promo_Codes!$A$2:$A$9,Promo_Codes!$F$2:$F$9,DATE(2099,1,1)),IF(Table5[[#This Row],[OrderDate]]&gt;_xlpm.expiry,"Expired Code Used","Valid"))</f>
        <v>Valid</v>
      </c>
    </row>
    <row r="134" spans="1:30" x14ac:dyDescent="0.3">
      <c r="A134" s="28" t="s">
        <v>386</v>
      </c>
      <c r="B134" s="27">
        <v>45957</v>
      </c>
      <c r="C134" s="28" t="s">
        <v>1124</v>
      </c>
      <c r="D134" s="28" t="s">
        <v>1200</v>
      </c>
      <c r="E134" s="27">
        <v>45957</v>
      </c>
      <c r="F134" s="27" t="str">
        <f t="shared" si="6"/>
        <v>New</v>
      </c>
      <c r="G134" s="28" t="s">
        <v>259</v>
      </c>
      <c r="H134" s="28" t="s">
        <v>288</v>
      </c>
      <c r="I134" s="28" t="s">
        <v>156</v>
      </c>
      <c r="J134" s="28" t="s">
        <v>389</v>
      </c>
      <c r="K134" s="29">
        <v>3</v>
      </c>
      <c r="L134" s="28" t="s">
        <v>260</v>
      </c>
      <c r="M134" s="28" t="s">
        <v>247</v>
      </c>
      <c r="N134" s="28" t="s">
        <v>182</v>
      </c>
      <c r="O134" s="28" t="s">
        <v>130</v>
      </c>
      <c r="P134" s="28" t="str">
        <f t="shared" si="7"/>
        <v/>
      </c>
      <c r="Q134" s="29">
        <v>5</v>
      </c>
      <c r="R134" s="29">
        <v>28</v>
      </c>
      <c r="S134" s="28"/>
      <c r="T134" s="30" t="str">
        <f>_xlfn.CONCAT(Table5[[#This Row],[OrderID]]," | ",Table5[[#This Row],[City]]," | ",Table5[[#This Row],[ItemName]])</f>
        <v>ORD-1131 | Dharan | Veg Chopsuey</v>
      </c>
      <c r="U134" s="30" t="str">
        <f>UPPER(Table5[[#This Row],[City]])</f>
        <v>DHARAN</v>
      </c>
      <c r="V134" s="30" t="str">
        <f>LOWER(Table5[[#This Row],[PaymentMethod]])</f>
        <v>ime pay</v>
      </c>
      <c r="W134" s="30" cm="1">
        <f t="array" ref="W134">_xlfn.XLOOKUP(TRIM(Table5[[#This Row],[ItemName]]), TRIM(Menu_Price_List_tbl[ItemName]),Menu_Price_List_tbl[UnitPrice_NPR])</f>
        <v>260</v>
      </c>
      <c r="X134" s="31">
        <f t="shared" si="8"/>
        <v>780</v>
      </c>
      <c r="Y134" s="30">
        <f>_xlfn.XLOOKUP(Table5[[#This Row],[City]],City_Delivery_Fee_tbl[City],City_Delivery_Fee_tbl[BaseDeliveryFee_NPR])</f>
        <v>95</v>
      </c>
      <c r="Z13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117</v>
      </c>
      <c r="AA134" s="31">
        <f>Table5[[#This Row],[Order Amount]]+Table5[[#This Row],[Delivery Fee]]-Table5[[#This Row],[Discount Amount]]</f>
        <v>758</v>
      </c>
      <c r="AB134" s="30" t="str">
        <f>_xlfn.XLOOKUP(Table5[[#This Row],[RiderID]], Rider_Directory!$F$2:$F$26, Rider_Directory!$B$2:$B$26)</f>
        <v>Dharan</v>
      </c>
      <c r="AC134" s="30" t="str" cm="1">
        <f t="array" ref="AC134">_xlfn.IFS(Table5[[#This Row],[Final Amount]]&lt;500, "Small", Table5[[#This Row],[Final Amount]]&lt;=1000, "Medium", Table5[[#This Row],[Final Amount]]&gt;1000, "Large")</f>
        <v>Medium</v>
      </c>
      <c r="AD134" s="30" t="str">
        <f>_xlfn.LET(_xlpm.expiry,_xlfn.XLOOKUP(Table5[[#This Row],[PromoCode]],Promo_Codes!$A$2:$A$9,Promo_Codes!$F$2:$F$9,DATE(2099,1,1)),IF(Table5[[#This Row],[OrderDate]]&gt;_xlpm.expiry,"Expired Code Used","Valid"))</f>
        <v>Valid</v>
      </c>
    </row>
    <row r="135" spans="1:30" x14ac:dyDescent="0.3">
      <c r="A135" s="28" t="s">
        <v>702</v>
      </c>
      <c r="B135" s="27">
        <v>45957</v>
      </c>
      <c r="C135" s="28" t="s">
        <v>1136</v>
      </c>
      <c r="D135" s="28" t="s">
        <v>1240</v>
      </c>
      <c r="E135" s="27">
        <v>45700</v>
      </c>
      <c r="F135" s="27" t="str">
        <f t="shared" si="6"/>
        <v>Returning</v>
      </c>
      <c r="G135" s="28" t="s">
        <v>145</v>
      </c>
      <c r="H135" s="28" t="s">
        <v>155</v>
      </c>
      <c r="I135" s="28" t="s">
        <v>156</v>
      </c>
      <c r="J135" s="28" t="s">
        <v>157</v>
      </c>
      <c r="K135" s="29">
        <v>3</v>
      </c>
      <c r="L135" s="28" t="s">
        <v>149</v>
      </c>
      <c r="M135" s="28" t="s">
        <v>159</v>
      </c>
      <c r="N135" s="28" t="s">
        <v>182</v>
      </c>
      <c r="O135" s="28" t="s">
        <v>130</v>
      </c>
      <c r="P135" s="28" t="str">
        <f t="shared" si="7"/>
        <v/>
      </c>
      <c r="Q135" s="29">
        <v>5</v>
      </c>
      <c r="R135" s="29">
        <v>39</v>
      </c>
      <c r="S135" s="28" t="s">
        <v>141</v>
      </c>
      <c r="T135" s="30" t="str">
        <f>_xlfn.CONCAT(Table5[[#This Row],[OrderID]]," | ",Table5[[#This Row],[City]]," | ",Table5[[#This Row],[ItemName]])</f>
        <v>ORD-1132 | Chitwan | Chicken Manchurian</v>
      </c>
      <c r="U135" s="30" t="str">
        <f>UPPER(Table5[[#This Row],[City]])</f>
        <v>CHITWAN</v>
      </c>
      <c r="V135" s="30" t="str">
        <f>LOWER(Table5[[#This Row],[PaymentMethod]])</f>
        <v>khalti</v>
      </c>
      <c r="W135" s="30" cm="1">
        <f t="array" ref="W135">_xlfn.XLOOKUP(TRIM(Table5[[#This Row],[ItemName]]), TRIM(Menu_Price_List_tbl[ItemName]),Menu_Price_List_tbl[UnitPrice_NPR])</f>
        <v>320</v>
      </c>
      <c r="X135" s="31">
        <f t="shared" si="8"/>
        <v>960</v>
      </c>
      <c r="Y135" s="30">
        <f>_xlfn.XLOOKUP(Table5[[#This Row],[City]],City_Delivery_Fee_tbl[City],City_Delivery_Fee_tbl[BaseDeliveryFee_NPR])</f>
        <v>80</v>
      </c>
      <c r="Z13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144</v>
      </c>
      <c r="AA135" s="31">
        <f>Table5[[#This Row],[Order Amount]]+Table5[[#This Row],[Delivery Fee]]-Table5[[#This Row],[Discount Amount]]</f>
        <v>896</v>
      </c>
      <c r="AB135" s="30" t="str">
        <f>_xlfn.XLOOKUP(Table5[[#This Row],[RiderID]], Rider_Directory!$F$2:$F$26, Rider_Directory!$B$2:$B$26)</f>
        <v>Chitwan</v>
      </c>
      <c r="AC135" s="30" t="str" cm="1">
        <f t="array" ref="AC135">_xlfn.IFS(Table5[[#This Row],[Final Amount]]&lt;500, "Small", Table5[[#This Row],[Final Amount]]&lt;=1000, "Medium", Table5[[#This Row],[Final Amount]]&gt;1000, "Large")</f>
        <v>Medium</v>
      </c>
      <c r="AD135" s="30" t="str">
        <f>_xlfn.LET(_xlpm.expiry,_xlfn.XLOOKUP(Table5[[#This Row],[PromoCode]],Promo_Codes!$A$2:$A$9,Promo_Codes!$F$2:$F$9,DATE(2099,1,1)),IF(Table5[[#This Row],[OrderDate]]&gt;_xlpm.expiry,"Expired Code Used","Valid"))</f>
        <v>Valid</v>
      </c>
    </row>
    <row r="136" spans="1:30" x14ac:dyDescent="0.3">
      <c r="A136" s="28" t="s">
        <v>926</v>
      </c>
      <c r="B136" s="27">
        <v>45957</v>
      </c>
      <c r="C136" s="28" t="s">
        <v>384</v>
      </c>
      <c r="D136" s="28" t="s">
        <v>1228</v>
      </c>
      <c r="E136" s="27">
        <v>45910</v>
      </c>
      <c r="F136" s="27" t="str">
        <f t="shared" si="6"/>
        <v>Returning</v>
      </c>
      <c r="G136" s="28" t="s">
        <v>135</v>
      </c>
      <c r="H136" s="28" t="s">
        <v>192</v>
      </c>
      <c r="I136" s="28" t="s">
        <v>137</v>
      </c>
      <c r="J136" s="28" t="s">
        <v>680</v>
      </c>
      <c r="K136" s="29">
        <v>3</v>
      </c>
      <c r="L136" s="28" t="s">
        <v>187</v>
      </c>
      <c r="M136" s="28" t="s">
        <v>128</v>
      </c>
      <c r="N136" s="28" t="s">
        <v>182</v>
      </c>
      <c r="O136" s="28" t="s">
        <v>235</v>
      </c>
      <c r="P136" s="28" t="str">
        <f t="shared" si="7"/>
        <v/>
      </c>
      <c r="Q136" s="28"/>
      <c r="R136" s="29">
        <v>33</v>
      </c>
      <c r="S136" s="28"/>
      <c r="T136" s="30" t="str">
        <f>_xlfn.CONCAT(Table5[[#This Row],[OrderID]]," | ",Table5[[#This Row],[City]]," | ",Table5[[#This Row],[ItemName]])</f>
        <v>ORD-1133 | Kathmandu |   Mutton Thakali Set</v>
      </c>
      <c r="U136" s="30" t="str">
        <f>UPPER(Table5[[#This Row],[City]])</f>
        <v>KATHMANDU</v>
      </c>
      <c r="V136" s="30" t="str">
        <f>LOWER(Table5[[#This Row],[PaymentMethod]])</f>
        <v>esewa</v>
      </c>
      <c r="W136" s="30" cm="1">
        <f t="array" ref="W136">_xlfn.XLOOKUP(TRIM(Table5[[#This Row],[ItemName]]), TRIM(Menu_Price_List_tbl[ItemName]),Menu_Price_List_tbl[UnitPrice_NPR])</f>
        <v>650</v>
      </c>
      <c r="X136" s="31">
        <f t="shared" si="8"/>
        <v>1950</v>
      </c>
      <c r="Y136" s="30">
        <f>_xlfn.XLOOKUP(Table5[[#This Row],[City]],City_Delivery_Fee_tbl[City],City_Delivery_Fee_tbl[BaseDeliveryFee_NPR])</f>
        <v>50</v>
      </c>
      <c r="Z13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292.5</v>
      </c>
      <c r="AA136" s="31">
        <f>Table5[[#This Row],[Order Amount]]+Table5[[#This Row],[Delivery Fee]]-Table5[[#This Row],[Discount Amount]]</f>
        <v>1707.5</v>
      </c>
      <c r="AB136" s="30" t="str">
        <f>_xlfn.XLOOKUP(Table5[[#This Row],[RiderID]], Rider_Directory!$F$2:$F$26, Rider_Directory!$B$2:$B$26)</f>
        <v>Kathmandu</v>
      </c>
      <c r="AC136" s="30" t="str" cm="1">
        <f t="array" ref="AC136">_xlfn.IFS(Table5[[#This Row],[Final Amount]]&lt;500, "Small", Table5[[#This Row],[Final Amount]]&lt;=1000, "Medium", Table5[[#This Row],[Final Amount]]&gt;1000, "Large")</f>
        <v>Large</v>
      </c>
      <c r="AD136" s="30" t="str">
        <f>_xlfn.LET(_xlpm.expiry,_xlfn.XLOOKUP(Table5[[#This Row],[PromoCode]],Promo_Codes!$A$2:$A$9,Promo_Codes!$F$2:$F$9,DATE(2099,1,1)),IF(Table5[[#This Row],[OrderDate]]&gt;_xlpm.expiry,"Expired Code Used","Valid"))</f>
        <v>Valid</v>
      </c>
    </row>
    <row r="137" spans="1:30" x14ac:dyDescent="0.3">
      <c r="A137" s="28" t="s">
        <v>1018</v>
      </c>
      <c r="B137" s="27">
        <v>45957</v>
      </c>
      <c r="C137" s="28" t="s">
        <v>511</v>
      </c>
      <c r="D137" s="28" t="s">
        <v>1212</v>
      </c>
      <c r="E137" s="27">
        <v>45895</v>
      </c>
      <c r="F137" s="27" t="str">
        <f t="shared" si="6"/>
        <v>Returning</v>
      </c>
      <c r="G137" s="28" t="s">
        <v>206</v>
      </c>
      <c r="H137" s="28" t="s">
        <v>163</v>
      </c>
      <c r="I137" s="28" t="s">
        <v>164</v>
      </c>
      <c r="J137" s="28" t="s">
        <v>332</v>
      </c>
      <c r="K137" s="29">
        <v>1</v>
      </c>
      <c r="L137" s="28" t="s">
        <v>208</v>
      </c>
      <c r="M137" s="28" t="s">
        <v>128</v>
      </c>
      <c r="N137" s="28" t="s">
        <v>182</v>
      </c>
      <c r="O137" s="28" t="s">
        <v>130</v>
      </c>
      <c r="P137" s="28" t="str">
        <f t="shared" si="7"/>
        <v/>
      </c>
      <c r="Q137" s="29">
        <v>4</v>
      </c>
      <c r="R137" s="29">
        <v>47</v>
      </c>
      <c r="S137" s="28" t="s">
        <v>291</v>
      </c>
      <c r="T137" s="30" t="str">
        <f>_xlfn.CONCAT(Table5[[#This Row],[OrderID]]," | ",Table5[[#This Row],[City]]," | ",Table5[[#This Row],[ItemName]])</f>
        <v>ORD-1134 | Pokhara |   Black Coffee</v>
      </c>
      <c r="U137" s="30" t="str">
        <f>UPPER(Table5[[#This Row],[City]])</f>
        <v>POKHARA</v>
      </c>
      <c r="V137" s="30" t="str">
        <f>LOWER(Table5[[#This Row],[PaymentMethod]])</f>
        <v>esewa</v>
      </c>
      <c r="W137" s="30" cm="1">
        <f t="array" ref="W137">_xlfn.XLOOKUP(TRIM(Table5[[#This Row],[ItemName]]), TRIM(Menu_Price_List_tbl[ItemName]),Menu_Price_List_tbl[UnitPrice_NPR])</f>
        <v>90</v>
      </c>
      <c r="X137" s="31">
        <f t="shared" si="8"/>
        <v>90</v>
      </c>
      <c r="Y137" s="30">
        <f>_xlfn.XLOOKUP(Table5[[#This Row],[City]],City_Delivery_Fee_tbl[City],City_Delivery_Fee_tbl[BaseDeliveryFee_NPR])</f>
        <v>70</v>
      </c>
      <c r="Z13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13.5</v>
      </c>
      <c r="AA137" s="31">
        <f>Table5[[#This Row],[Order Amount]]+Table5[[#This Row],[Delivery Fee]]-Table5[[#This Row],[Discount Amount]]</f>
        <v>146.5</v>
      </c>
      <c r="AB137" s="30" t="str">
        <f>_xlfn.XLOOKUP(Table5[[#This Row],[RiderID]], Rider_Directory!$F$2:$F$26, Rider_Directory!$B$2:$B$26)</f>
        <v>Pokhara</v>
      </c>
      <c r="AC137" s="30" t="str" cm="1">
        <f t="array" ref="AC137">_xlfn.IFS(Table5[[#This Row],[Final Amount]]&lt;500, "Small", Table5[[#This Row],[Final Amount]]&lt;=1000, "Medium", Table5[[#This Row],[Final Amount]]&gt;1000, "Large")</f>
        <v>Small</v>
      </c>
      <c r="AD137" s="30" t="str">
        <f>_xlfn.LET(_xlpm.expiry,_xlfn.XLOOKUP(Table5[[#This Row],[PromoCode]],Promo_Codes!$A$2:$A$9,Promo_Codes!$F$2:$F$9,DATE(2099,1,1)),IF(Table5[[#This Row],[OrderDate]]&gt;_xlpm.expiry,"Expired Code Used","Valid"))</f>
        <v>Valid</v>
      </c>
    </row>
    <row r="138" spans="1:30" x14ac:dyDescent="0.3">
      <c r="A138" s="28" t="s">
        <v>310</v>
      </c>
      <c r="B138" s="27">
        <v>45958</v>
      </c>
      <c r="C138" s="28" t="s">
        <v>803</v>
      </c>
      <c r="D138" s="28" t="s">
        <v>1186</v>
      </c>
      <c r="E138" s="27">
        <v>45957</v>
      </c>
      <c r="F138" s="27" t="str">
        <f t="shared" si="6"/>
        <v>New</v>
      </c>
      <c r="G138" s="28" t="s">
        <v>170</v>
      </c>
      <c r="H138" s="28" t="s">
        <v>216</v>
      </c>
      <c r="I138" s="28" t="s">
        <v>125</v>
      </c>
      <c r="J138" s="28" t="s">
        <v>313</v>
      </c>
      <c r="K138" s="29">
        <v>1</v>
      </c>
      <c r="L138" s="28" t="s">
        <v>173</v>
      </c>
      <c r="M138" s="28" t="s">
        <v>128</v>
      </c>
      <c r="N138" s="28" t="s">
        <v>182</v>
      </c>
      <c r="O138" s="28" t="s">
        <v>130</v>
      </c>
      <c r="P138" s="28" t="str">
        <f t="shared" si="7"/>
        <v/>
      </c>
      <c r="Q138" s="29">
        <v>2</v>
      </c>
      <c r="R138" s="29">
        <v>42</v>
      </c>
      <c r="S138" s="28" t="s">
        <v>150</v>
      </c>
      <c r="T138" s="30" t="str">
        <f>_xlfn.CONCAT(Table5[[#This Row],[OrderID]]," | ",Table5[[#This Row],[City]]," | ",Table5[[#This Row],[ItemName]])</f>
        <v>ORD-1135 | Butwal |   Chatamari</v>
      </c>
      <c r="U138" s="30" t="str">
        <f>UPPER(Table5[[#This Row],[City]])</f>
        <v>BUTWAL</v>
      </c>
      <c r="V138" s="30" t="str">
        <f>LOWER(Table5[[#This Row],[PaymentMethod]])</f>
        <v>esewa</v>
      </c>
      <c r="W138" s="30" cm="1">
        <f t="array" ref="W138">_xlfn.XLOOKUP(TRIM(Table5[[#This Row],[ItemName]]), TRIM(Menu_Price_List_tbl[ItemName]),Menu_Price_List_tbl[UnitPrice_NPR])</f>
        <v>210</v>
      </c>
      <c r="X138" s="31">
        <f t="shared" si="8"/>
        <v>210</v>
      </c>
      <c r="Y138" s="30">
        <f>_xlfn.XLOOKUP(Table5[[#This Row],[City]],City_Delivery_Fee_tbl[City],City_Delivery_Fee_tbl[BaseDeliveryFee_NPR])</f>
        <v>85</v>
      </c>
      <c r="Z13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31.5</v>
      </c>
      <c r="AA138" s="31">
        <f>Table5[[#This Row],[Order Amount]]+Table5[[#This Row],[Delivery Fee]]-Table5[[#This Row],[Discount Amount]]</f>
        <v>263.5</v>
      </c>
      <c r="AB138" s="30" t="str">
        <f>_xlfn.XLOOKUP(Table5[[#This Row],[RiderID]], Rider_Directory!$F$2:$F$26, Rider_Directory!$B$2:$B$26)</f>
        <v>Butwal</v>
      </c>
      <c r="AC138" s="30" t="str" cm="1">
        <f t="array" ref="AC138">_xlfn.IFS(Table5[[#This Row],[Final Amount]]&lt;500, "Small", Table5[[#This Row],[Final Amount]]&lt;=1000, "Medium", Table5[[#This Row],[Final Amount]]&gt;1000, "Large")</f>
        <v>Small</v>
      </c>
      <c r="AD138" s="30" t="str">
        <f>_xlfn.LET(_xlpm.expiry,_xlfn.XLOOKUP(Table5[[#This Row],[PromoCode]],Promo_Codes!$A$2:$A$9,Promo_Codes!$F$2:$F$9,DATE(2099,1,1)),IF(Table5[[#This Row],[OrderDate]]&gt;_xlpm.expiry,"Expired Code Used","Valid"))</f>
        <v>Valid</v>
      </c>
    </row>
    <row r="139" spans="1:30" x14ac:dyDescent="0.3">
      <c r="A139" s="28" t="s">
        <v>422</v>
      </c>
      <c r="B139" s="27">
        <v>45958</v>
      </c>
      <c r="C139" s="28" t="s">
        <v>1127</v>
      </c>
      <c r="D139" s="28" t="s">
        <v>1207</v>
      </c>
      <c r="E139" s="27">
        <v>45909</v>
      </c>
      <c r="F139" s="27" t="str">
        <f t="shared" si="6"/>
        <v>Returning</v>
      </c>
      <c r="G139" s="28" t="s">
        <v>206</v>
      </c>
      <c r="H139" s="28" t="s">
        <v>155</v>
      </c>
      <c r="I139" s="28" t="s">
        <v>156</v>
      </c>
      <c r="J139" s="28" t="s">
        <v>389</v>
      </c>
      <c r="K139" s="29">
        <v>3</v>
      </c>
      <c r="L139" s="28" t="s">
        <v>358</v>
      </c>
      <c r="M139" s="28" t="s">
        <v>159</v>
      </c>
      <c r="N139" s="28"/>
      <c r="O139" s="28" t="s">
        <v>130</v>
      </c>
      <c r="P139" s="28" t="str">
        <f t="shared" si="7"/>
        <v/>
      </c>
      <c r="Q139" s="29">
        <v>4</v>
      </c>
      <c r="R139" s="29">
        <v>37</v>
      </c>
      <c r="S139" s="28"/>
      <c r="T139" s="30" t="str">
        <f>_xlfn.CONCAT(Table5[[#This Row],[OrderID]]," | ",Table5[[#This Row],[City]]," | ",Table5[[#This Row],[ItemName]])</f>
        <v>ORD-1136 | Pokhara | Veg Chopsuey</v>
      </c>
      <c r="U139" s="30" t="str">
        <f>UPPER(Table5[[#This Row],[City]])</f>
        <v>POKHARA</v>
      </c>
      <c r="V139" s="30" t="str">
        <f>LOWER(Table5[[#This Row],[PaymentMethod]])</f>
        <v>khalti</v>
      </c>
      <c r="W139" s="30" cm="1">
        <f t="array" ref="W139">_xlfn.XLOOKUP(TRIM(Table5[[#This Row],[ItemName]]), TRIM(Menu_Price_List_tbl[ItemName]),Menu_Price_List_tbl[UnitPrice_NPR])</f>
        <v>260</v>
      </c>
      <c r="X139" s="31">
        <f t="shared" si="8"/>
        <v>780</v>
      </c>
      <c r="Y139" s="30">
        <f>_xlfn.XLOOKUP(Table5[[#This Row],[City]],City_Delivery_Fee_tbl[City],City_Delivery_Fee_tbl[BaseDeliveryFee_NPR])</f>
        <v>70</v>
      </c>
      <c r="Z13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39" s="31">
        <f>Table5[[#This Row],[Order Amount]]+Table5[[#This Row],[Delivery Fee]]-Table5[[#This Row],[Discount Amount]]</f>
        <v>850</v>
      </c>
      <c r="AB139" s="30" t="str">
        <f>_xlfn.XLOOKUP(Table5[[#This Row],[RiderID]], Rider_Directory!$F$2:$F$26, Rider_Directory!$B$2:$B$26)</f>
        <v>Pokhara</v>
      </c>
      <c r="AC139" s="30" t="str" cm="1">
        <f t="array" ref="AC139">_xlfn.IFS(Table5[[#This Row],[Final Amount]]&lt;500, "Small", Table5[[#This Row],[Final Amount]]&lt;=1000, "Medium", Table5[[#This Row],[Final Amount]]&gt;1000, "Large")</f>
        <v>Medium</v>
      </c>
      <c r="AD139" s="30" t="str">
        <f>_xlfn.LET(_xlpm.expiry,_xlfn.XLOOKUP(Table5[[#This Row],[PromoCode]],Promo_Codes!$A$2:$A$9,Promo_Codes!$F$2:$F$9,DATE(2099,1,1)),IF(Table5[[#This Row],[OrderDate]]&gt;_xlpm.expiry,"Expired Code Used","Valid"))</f>
        <v>Valid</v>
      </c>
    </row>
    <row r="140" spans="1:30" x14ac:dyDescent="0.3">
      <c r="A140" s="28" t="s">
        <v>545</v>
      </c>
      <c r="B140" s="27">
        <v>45958</v>
      </c>
      <c r="C140" s="28" t="s">
        <v>546</v>
      </c>
      <c r="D140" s="28" t="s">
        <v>1229</v>
      </c>
      <c r="E140" s="27">
        <v>45892</v>
      </c>
      <c r="F140" s="27" t="str">
        <f t="shared" si="6"/>
        <v>Returning</v>
      </c>
      <c r="G140" s="28" t="s">
        <v>145</v>
      </c>
      <c r="H140" s="28" t="s">
        <v>216</v>
      </c>
      <c r="I140" s="28" t="s">
        <v>125</v>
      </c>
      <c r="J140" s="28" t="s">
        <v>548</v>
      </c>
      <c r="K140" s="29">
        <v>2</v>
      </c>
      <c r="L140" s="28" t="s">
        <v>149</v>
      </c>
      <c r="M140" s="28" t="s">
        <v>159</v>
      </c>
      <c r="N140" s="28" t="s">
        <v>182</v>
      </c>
      <c r="O140" s="28" t="s">
        <v>130</v>
      </c>
      <c r="P140" s="28" t="str">
        <f t="shared" si="7"/>
        <v/>
      </c>
      <c r="Q140" s="29">
        <v>4</v>
      </c>
      <c r="R140" s="29">
        <v>42</v>
      </c>
      <c r="S140" s="28"/>
      <c r="T140" s="30" t="str">
        <f>_xlfn.CONCAT(Table5[[#This Row],[OrderID]]," | ",Table5[[#This Row],[City]]," | ",Table5[[#This Row],[ItemName]])</f>
        <v>ORD-1137 | Chitwan |   Yomari</v>
      </c>
      <c r="U140" s="30" t="str">
        <f>UPPER(Table5[[#This Row],[City]])</f>
        <v>CHITWAN</v>
      </c>
      <c r="V140" s="30" t="str">
        <f>LOWER(Table5[[#This Row],[PaymentMethod]])</f>
        <v>khalti</v>
      </c>
      <c r="W140" s="30" cm="1">
        <f t="array" ref="W140">_xlfn.XLOOKUP(TRIM(Table5[[#This Row],[ItemName]]), TRIM(Menu_Price_List_tbl[ItemName]),Menu_Price_List_tbl[UnitPrice_NPR])</f>
        <v>180</v>
      </c>
      <c r="X140" s="31">
        <f t="shared" si="8"/>
        <v>360</v>
      </c>
      <c r="Y140" s="30">
        <f>_xlfn.XLOOKUP(Table5[[#This Row],[City]],City_Delivery_Fee_tbl[City],City_Delivery_Fee_tbl[BaseDeliveryFee_NPR])</f>
        <v>80</v>
      </c>
      <c r="Z14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54</v>
      </c>
      <c r="AA140" s="31">
        <f>Table5[[#This Row],[Order Amount]]+Table5[[#This Row],[Delivery Fee]]-Table5[[#This Row],[Discount Amount]]</f>
        <v>386</v>
      </c>
      <c r="AB140" s="30" t="str">
        <f>_xlfn.XLOOKUP(Table5[[#This Row],[RiderID]], Rider_Directory!$F$2:$F$26, Rider_Directory!$B$2:$B$26)</f>
        <v>Chitwan</v>
      </c>
      <c r="AC140" s="30" t="str" cm="1">
        <f t="array" ref="AC140">_xlfn.IFS(Table5[[#This Row],[Final Amount]]&lt;500, "Small", Table5[[#This Row],[Final Amount]]&lt;=1000, "Medium", Table5[[#This Row],[Final Amount]]&gt;1000, "Large")</f>
        <v>Small</v>
      </c>
      <c r="AD140" s="30" t="str">
        <f>_xlfn.LET(_xlpm.expiry,_xlfn.XLOOKUP(Table5[[#This Row],[PromoCode]],Promo_Codes!$A$2:$A$9,Promo_Codes!$F$2:$F$9,DATE(2099,1,1)),IF(Table5[[#This Row],[OrderDate]]&gt;_xlpm.expiry,"Expired Code Used","Valid"))</f>
        <v>Valid</v>
      </c>
    </row>
    <row r="141" spans="1:30" x14ac:dyDescent="0.3">
      <c r="A141" s="28" t="s">
        <v>994</v>
      </c>
      <c r="B141" s="27">
        <v>45958</v>
      </c>
      <c r="C141" s="28" t="s">
        <v>121</v>
      </c>
      <c r="D141" s="28" t="s">
        <v>1159</v>
      </c>
      <c r="E141" s="27">
        <v>45955</v>
      </c>
      <c r="F141" s="27" t="str">
        <f t="shared" si="6"/>
        <v>Returning</v>
      </c>
      <c r="G141" s="28" t="s">
        <v>198</v>
      </c>
      <c r="H141" s="28" t="s">
        <v>171</v>
      </c>
      <c r="I141" s="28" t="s">
        <v>147</v>
      </c>
      <c r="J141" s="28" t="s">
        <v>172</v>
      </c>
      <c r="K141" s="29">
        <v>3</v>
      </c>
      <c r="L141" s="28" t="s">
        <v>213</v>
      </c>
      <c r="M141" s="28" t="s">
        <v>247</v>
      </c>
      <c r="N141" s="28" t="s">
        <v>182</v>
      </c>
      <c r="O141" s="28" t="s">
        <v>130</v>
      </c>
      <c r="P141" s="28" t="str">
        <f t="shared" si="7"/>
        <v/>
      </c>
      <c r="Q141" s="28"/>
      <c r="R141" s="29">
        <v>26</v>
      </c>
      <c r="S141" s="28"/>
      <c r="T141" s="30" t="str">
        <f>_xlfn.CONCAT(Table5[[#This Row],[OrderID]]," | ",Table5[[#This Row],[City]]," | ",Table5[[#This Row],[ItemName]])</f>
        <v>ORD-1138 | Lalitpur | Chocolate Pastry</v>
      </c>
      <c r="U141" s="30" t="str">
        <f>UPPER(Table5[[#This Row],[City]])</f>
        <v>LALITPUR</v>
      </c>
      <c r="V141" s="30" t="str">
        <f>LOWER(Table5[[#This Row],[PaymentMethod]])</f>
        <v>ime pay</v>
      </c>
      <c r="W141" s="30" cm="1">
        <f t="array" ref="W141">_xlfn.XLOOKUP(TRIM(Table5[[#This Row],[ItemName]]), TRIM(Menu_Price_List_tbl[ItemName]),Menu_Price_List_tbl[UnitPrice_NPR])</f>
        <v>150</v>
      </c>
      <c r="X141" s="31">
        <f t="shared" si="8"/>
        <v>450</v>
      </c>
      <c r="Y141" s="30">
        <f>_xlfn.XLOOKUP(Table5[[#This Row],[City]],City_Delivery_Fee_tbl[City],City_Delivery_Fee_tbl[BaseDeliveryFee_NPR])</f>
        <v>50</v>
      </c>
      <c r="Z14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67.5</v>
      </c>
      <c r="AA141" s="31">
        <f>Table5[[#This Row],[Order Amount]]+Table5[[#This Row],[Delivery Fee]]-Table5[[#This Row],[Discount Amount]]</f>
        <v>432.5</v>
      </c>
      <c r="AB141" s="30" t="str">
        <f>_xlfn.XLOOKUP(Table5[[#This Row],[RiderID]], Rider_Directory!$F$2:$F$26, Rider_Directory!$B$2:$B$26)</f>
        <v>Lalitpur</v>
      </c>
      <c r="AC141" s="30" t="str" cm="1">
        <f t="array" ref="AC141">_xlfn.IFS(Table5[[#This Row],[Final Amount]]&lt;500, "Small", Table5[[#This Row],[Final Amount]]&lt;=1000, "Medium", Table5[[#This Row],[Final Amount]]&gt;1000, "Large")</f>
        <v>Small</v>
      </c>
      <c r="AD141" s="30" t="str">
        <f>_xlfn.LET(_xlpm.expiry,_xlfn.XLOOKUP(Table5[[#This Row],[PromoCode]],Promo_Codes!$A$2:$A$9,Promo_Codes!$F$2:$F$9,DATE(2099,1,1)),IF(Table5[[#This Row],[OrderDate]]&gt;_xlpm.expiry,"Expired Code Used","Valid"))</f>
        <v>Valid</v>
      </c>
    </row>
    <row r="142" spans="1:30" x14ac:dyDescent="0.3">
      <c r="A142" s="28" t="s">
        <v>451</v>
      </c>
      <c r="B142" s="27">
        <v>45958</v>
      </c>
      <c r="C142" s="28" t="s">
        <v>210</v>
      </c>
      <c r="D142" s="28" t="s">
        <v>1170</v>
      </c>
      <c r="E142" s="27">
        <v>45880</v>
      </c>
      <c r="F142" s="27" t="str">
        <f t="shared" si="6"/>
        <v>Returning</v>
      </c>
      <c r="G142" s="28" t="s">
        <v>198</v>
      </c>
      <c r="H142" s="28" t="s">
        <v>199</v>
      </c>
      <c r="I142" s="28" t="s">
        <v>179</v>
      </c>
      <c r="J142" s="28" t="s">
        <v>453</v>
      </c>
      <c r="K142" s="29">
        <v>3</v>
      </c>
      <c r="L142" s="28" t="s">
        <v>213</v>
      </c>
      <c r="M142" s="28" t="s">
        <v>159</v>
      </c>
      <c r="N142" s="28"/>
      <c r="O142" s="28" t="s">
        <v>130</v>
      </c>
      <c r="P142" s="28" t="str">
        <f t="shared" si="7"/>
        <v/>
      </c>
      <c r="Q142" s="29">
        <v>5</v>
      </c>
      <c r="R142" s="29">
        <v>25</v>
      </c>
      <c r="S142" s="28" t="s">
        <v>291</v>
      </c>
      <c r="T142" s="30" t="str">
        <f>_xlfn.CONCAT(Table5[[#This Row],[OrderID]]," | ",Table5[[#This Row],[City]]," | ",Table5[[#This Row],[ItemName]])</f>
        <v>ORD-1139 | Lalitpur | Margherita Pizza</v>
      </c>
      <c r="U142" s="30" t="str">
        <f>UPPER(Table5[[#This Row],[City]])</f>
        <v>LALITPUR</v>
      </c>
      <c r="V142" s="30" t="str">
        <f>LOWER(Table5[[#This Row],[PaymentMethod]])</f>
        <v>khalti</v>
      </c>
      <c r="W142" s="30" cm="1">
        <f t="array" ref="W142">_xlfn.XLOOKUP(TRIM(Table5[[#This Row],[ItemName]]), TRIM(Menu_Price_List_tbl[ItemName]),Menu_Price_List_tbl[UnitPrice_NPR])</f>
        <v>550</v>
      </c>
      <c r="X142" s="31">
        <f t="shared" si="8"/>
        <v>1650</v>
      </c>
      <c r="Y142" s="30">
        <f>_xlfn.XLOOKUP(Table5[[#This Row],[City]],City_Delivery_Fee_tbl[City],City_Delivery_Fee_tbl[BaseDeliveryFee_NPR])</f>
        <v>50</v>
      </c>
      <c r="Z14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42" s="31">
        <f>Table5[[#This Row],[Order Amount]]+Table5[[#This Row],[Delivery Fee]]-Table5[[#This Row],[Discount Amount]]</f>
        <v>1700</v>
      </c>
      <c r="AB142" s="30" t="str">
        <f>_xlfn.XLOOKUP(Table5[[#This Row],[RiderID]], Rider_Directory!$F$2:$F$26, Rider_Directory!$B$2:$B$26)</f>
        <v>Lalitpur</v>
      </c>
      <c r="AC142" s="30" t="str" cm="1">
        <f t="array" ref="AC142">_xlfn.IFS(Table5[[#This Row],[Final Amount]]&lt;500, "Small", Table5[[#This Row],[Final Amount]]&lt;=1000, "Medium", Table5[[#This Row],[Final Amount]]&gt;1000, "Large")</f>
        <v>Large</v>
      </c>
      <c r="AD142" s="30" t="str">
        <f>_xlfn.LET(_xlpm.expiry,_xlfn.XLOOKUP(Table5[[#This Row],[PromoCode]],Promo_Codes!$A$2:$A$9,Promo_Codes!$F$2:$F$9,DATE(2099,1,1)),IF(Table5[[#This Row],[OrderDate]]&gt;_xlpm.expiry,"Expired Code Used","Valid"))</f>
        <v>Valid</v>
      </c>
    </row>
    <row r="143" spans="1:30" x14ac:dyDescent="0.3">
      <c r="A143" s="28" t="s">
        <v>671</v>
      </c>
      <c r="B143" s="27">
        <v>45959</v>
      </c>
      <c r="C143" s="28" t="s">
        <v>672</v>
      </c>
      <c r="D143" s="28" t="s">
        <v>1201</v>
      </c>
      <c r="E143" s="27">
        <v>45947</v>
      </c>
      <c r="F143" s="27" t="str">
        <f t="shared" si="6"/>
        <v>Returning</v>
      </c>
      <c r="G143" s="28" t="s">
        <v>198</v>
      </c>
      <c r="H143" s="28" t="s">
        <v>232</v>
      </c>
      <c r="I143" s="28" t="s">
        <v>233</v>
      </c>
      <c r="J143" s="28" t="s">
        <v>673</v>
      </c>
      <c r="K143" s="29">
        <v>3</v>
      </c>
      <c r="L143" s="28" t="s">
        <v>213</v>
      </c>
      <c r="M143" s="28" t="s">
        <v>128</v>
      </c>
      <c r="N143" s="28"/>
      <c r="O143" s="28" t="s">
        <v>130</v>
      </c>
      <c r="P143" s="28" t="str">
        <f t="shared" si="7"/>
        <v/>
      </c>
      <c r="Q143" s="29">
        <v>4</v>
      </c>
      <c r="R143" s="29">
        <v>18</v>
      </c>
      <c r="S143" s="28"/>
      <c r="T143" s="30" t="str">
        <f>_xlfn.CONCAT(Table5[[#This Row],[OrderID]]," | ",Table5[[#This Row],[City]]," | ",Table5[[#This Row],[ItemName]])</f>
        <v xml:space="preserve">ORD-1140 | Lalitpur | Chilli Momo  </v>
      </c>
      <c r="U143" s="30" t="str">
        <f>UPPER(Table5[[#This Row],[City]])</f>
        <v>LALITPUR</v>
      </c>
      <c r="V143" s="30" t="str">
        <f>LOWER(Table5[[#This Row],[PaymentMethod]])</f>
        <v>esewa</v>
      </c>
      <c r="W143" s="30" cm="1">
        <f t="array" ref="W143">_xlfn.XLOOKUP(TRIM(Table5[[#This Row],[ItemName]]), TRIM(Menu_Price_List_tbl[ItemName]),Menu_Price_List_tbl[UnitPrice_NPR])</f>
        <v>220</v>
      </c>
      <c r="X143" s="31">
        <f t="shared" si="8"/>
        <v>660</v>
      </c>
      <c r="Y143" s="30">
        <f>_xlfn.XLOOKUP(Table5[[#This Row],[City]],City_Delivery_Fee_tbl[City],City_Delivery_Fee_tbl[BaseDeliveryFee_NPR])</f>
        <v>50</v>
      </c>
      <c r="Z14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43" s="31">
        <f>Table5[[#This Row],[Order Amount]]+Table5[[#This Row],[Delivery Fee]]-Table5[[#This Row],[Discount Amount]]</f>
        <v>710</v>
      </c>
      <c r="AB143" s="30" t="str">
        <f>_xlfn.XLOOKUP(Table5[[#This Row],[RiderID]], Rider_Directory!$F$2:$F$26, Rider_Directory!$B$2:$B$26)</f>
        <v>Lalitpur</v>
      </c>
      <c r="AC143" s="30" t="str" cm="1">
        <f t="array" ref="AC143">_xlfn.IFS(Table5[[#This Row],[Final Amount]]&lt;500, "Small", Table5[[#This Row],[Final Amount]]&lt;=1000, "Medium", Table5[[#This Row],[Final Amount]]&gt;1000, "Large")</f>
        <v>Medium</v>
      </c>
      <c r="AD143" s="30" t="str">
        <f>_xlfn.LET(_xlpm.expiry,_xlfn.XLOOKUP(Table5[[#This Row],[PromoCode]],Promo_Codes!$A$2:$A$9,Promo_Codes!$F$2:$F$9,DATE(2099,1,1)),IF(Table5[[#This Row],[OrderDate]]&gt;_xlpm.expiry,"Expired Code Used","Valid"))</f>
        <v>Valid</v>
      </c>
    </row>
    <row r="144" spans="1:30" x14ac:dyDescent="0.3">
      <c r="A144" s="28" t="s">
        <v>725</v>
      </c>
      <c r="B144" s="27">
        <v>45959</v>
      </c>
      <c r="C144" s="28" t="s">
        <v>1143</v>
      </c>
      <c r="D144" s="28" t="s">
        <v>1257</v>
      </c>
      <c r="E144" s="27">
        <v>45874</v>
      </c>
      <c r="F144" s="27" t="str">
        <f t="shared" si="6"/>
        <v>Returning</v>
      </c>
      <c r="G144" s="28" t="s">
        <v>259</v>
      </c>
      <c r="H144" s="28" t="s">
        <v>216</v>
      </c>
      <c r="I144" s="28" t="s">
        <v>125</v>
      </c>
      <c r="J144" s="28" t="s">
        <v>571</v>
      </c>
      <c r="K144" s="29">
        <v>3</v>
      </c>
      <c r="L144" s="28" t="s">
        <v>260</v>
      </c>
      <c r="M144" s="28" t="s">
        <v>247</v>
      </c>
      <c r="N144" s="28"/>
      <c r="O144" s="28" t="s">
        <v>130</v>
      </c>
      <c r="P144" s="28" t="str">
        <f t="shared" si="7"/>
        <v/>
      </c>
      <c r="Q144" s="29">
        <v>3</v>
      </c>
      <c r="R144" s="29">
        <v>59</v>
      </c>
      <c r="S144" s="28" t="s">
        <v>224</v>
      </c>
      <c r="T144" s="30" t="str">
        <f>_xlfn.CONCAT(Table5[[#This Row],[OrderID]]," | ",Table5[[#This Row],[City]]," | ",Table5[[#This Row],[ItemName]])</f>
        <v>ORD-1141 | Dharan | Choila (Buff)</v>
      </c>
      <c r="U144" s="30" t="str">
        <f>UPPER(Table5[[#This Row],[City]])</f>
        <v>DHARAN</v>
      </c>
      <c r="V144" s="30" t="str">
        <f>LOWER(Table5[[#This Row],[PaymentMethod]])</f>
        <v>ime pay</v>
      </c>
      <c r="W144" s="30" cm="1">
        <f t="array" ref="W144">_xlfn.XLOOKUP(TRIM(Table5[[#This Row],[ItemName]]), TRIM(Menu_Price_List_tbl[ItemName]),Menu_Price_List_tbl[UnitPrice_NPR])</f>
        <v>320</v>
      </c>
      <c r="X144" s="31">
        <f t="shared" si="8"/>
        <v>960</v>
      </c>
      <c r="Y144" s="30">
        <f>_xlfn.XLOOKUP(Table5[[#This Row],[City]],City_Delivery_Fee_tbl[City],City_Delivery_Fee_tbl[BaseDeliveryFee_NPR])</f>
        <v>95</v>
      </c>
      <c r="Z14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44" s="31">
        <f>Table5[[#This Row],[Order Amount]]+Table5[[#This Row],[Delivery Fee]]-Table5[[#This Row],[Discount Amount]]</f>
        <v>1055</v>
      </c>
      <c r="AB144" s="30" t="str">
        <f>_xlfn.XLOOKUP(Table5[[#This Row],[RiderID]], Rider_Directory!$F$2:$F$26, Rider_Directory!$B$2:$B$26)</f>
        <v>Dharan</v>
      </c>
      <c r="AC144" s="30" t="str" cm="1">
        <f t="array" ref="AC144">_xlfn.IFS(Table5[[#This Row],[Final Amount]]&lt;500, "Small", Table5[[#This Row],[Final Amount]]&lt;=1000, "Medium", Table5[[#This Row],[Final Amount]]&gt;1000, "Large")</f>
        <v>Large</v>
      </c>
      <c r="AD144" s="30" t="str">
        <f>_xlfn.LET(_xlpm.expiry,_xlfn.XLOOKUP(Table5[[#This Row],[PromoCode]],Promo_Codes!$A$2:$A$9,Promo_Codes!$F$2:$F$9,DATE(2099,1,1)),IF(Table5[[#This Row],[OrderDate]]&gt;_xlpm.expiry,"Expired Code Used","Valid"))</f>
        <v>Valid</v>
      </c>
    </row>
    <row r="145" spans="1:30" x14ac:dyDescent="0.3">
      <c r="A145" s="28" t="s">
        <v>303</v>
      </c>
      <c r="B145" s="27">
        <v>45959</v>
      </c>
      <c r="C145" s="28" t="s">
        <v>1121</v>
      </c>
      <c r="D145" s="28" t="s">
        <v>1185</v>
      </c>
      <c r="E145" s="27">
        <v>45922</v>
      </c>
      <c r="F145" s="27" t="str">
        <f t="shared" si="6"/>
        <v>Returning</v>
      </c>
      <c r="G145" s="28" t="s">
        <v>145</v>
      </c>
      <c r="H145" s="28" t="s">
        <v>288</v>
      </c>
      <c r="I145" s="28" t="s">
        <v>156</v>
      </c>
      <c r="J145" s="28" t="s">
        <v>306</v>
      </c>
      <c r="K145" s="29">
        <v>2</v>
      </c>
      <c r="L145" s="28" t="s">
        <v>307</v>
      </c>
      <c r="M145" s="28" t="s">
        <v>128</v>
      </c>
      <c r="N145" s="28" t="s">
        <v>182</v>
      </c>
      <c r="O145" s="28" t="s">
        <v>130</v>
      </c>
      <c r="P145" s="28" t="str">
        <f t="shared" si="7"/>
        <v/>
      </c>
      <c r="Q145" s="29">
        <v>4</v>
      </c>
      <c r="R145" s="29">
        <v>36</v>
      </c>
      <c r="S145" s="28"/>
      <c r="T145" s="30" t="str">
        <f>_xlfn.CONCAT(Table5[[#This Row],[OrderID]]," | ",Table5[[#This Row],[City]]," | ",Table5[[#This Row],[ItemName]])</f>
        <v>ORD-1142 | Chitwan | chicken fried rice</v>
      </c>
      <c r="U145" s="30" t="str">
        <f>UPPER(Table5[[#This Row],[City]])</f>
        <v>CHITWAN</v>
      </c>
      <c r="V145" s="30" t="str">
        <f>LOWER(Table5[[#This Row],[PaymentMethod]])</f>
        <v>esewa</v>
      </c>
      <c r="W145" s="30" cm="1">
        <f t="array" ref="W145">_xlfn.XLOOKUP(TRIM(Table5[[#This Row],[ItemName]]), TRIM(Menu_Price_List_tbl[ItemName]),Menu_Price_List_tbl[UnitPrice_NPR])</f>
        <v>260</v>
      </c>
      <c r="X145" s="31">
        <f t="shared" si="8"/>
        <v>520</v>
      </c>
      <c r="Y145" s="30">
        <f>_xlfn.XLOOKUP(Table5[[#This Row],[City]],City_Delivery_Fee_tbl[City],City_Delivery_Fee_tbl[BaseDeliveryFee_NPR])</f>
        <v>80</v>
      </c>
      <c r="Z14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78</v>
      </c>
      <c r="AA145" s="31">
        <f>Table5[[#This Row],[Order Amount]]+Table5[[#This Row],[Delivery Fee]]-Table5[[#This Row],[Discount Amount]]</f>
        <v>522</v>
      </c>
      <c r="AB145" s="30" t="str">
        <f>_xlfn.XLOOKUP(Table5[[#This Row],[RiderID]], Rider_Directory!$F$2:$F$26, Rider_Directory!$B$2:$B$26)</f>
        <v>Chitwan</v>
      </c>
      <c r="AC145" s="30" t="str" cm="1">
        <f t="array" ref="AC145">_xlfn.IFS(Table5[[#This Row],[Final Amount]]&lt;500, "Small", Table5[[#This Row],[Final Amount]]&lt;=1000, "Medium", Table5[[#This Row],[Final Amount]]&gt;1000, "Large")</f>
        <v>Medium</v>
      </c>
      <c r="AD145" s="30" t="str">
        <f>_xlfn.LET(_xlpm.expiry,_xlfn.XLOOKUP(Table5[[#This Row],[PromoCode]],Promo_Codes!$A$2:$A$9,Promo_Codes!$F$2:$F$9,DATE(2099,1,1)),IF(Table5[[#This Row],[OrderDate]]&gt;_xlpm.expiry,"Expired Code Used","Valid"))</f>
        <v>Valid</v>
      </c>
    </row>
    <row r="146" spans="1:30" x14ac:dyDescent="0.3">
      <c r="A146" s="28" t="s">
        <v>174</v>
      </c>
      <c r="B146" s="27">
        <v>45980</v>
      </c>
      <c r="C146" s="28" t="s">
        <v>175</v>
      </c>
      <c r="D146" s="28" t="s">
        <v>1165</v>
      </c>
      <c r="E146" s="27">
        <v>45959</v>
      </c>
      <c r="F146" s="27" t="str">
        <f t="shared" si="6"/>
        <v>Returning</v>
      </c>
      <c r="G146" s="28" t="s">
        <v>177</v>
      </c>
      <c r="H146" s="28" t="s">
        <v>178</v>
      </c>
      <c r="I146" s="28" t="s">
        <v>179</v>
      </c>
      <c r="J146" s="28" t="s">
        <v>180</v>
      </c>
      <c r="K146" s="29">
        <v>2</v>
      </c>
      <c r="L146" s="28" t="s">
        <v>181</v>
      </c>
      <c r="M146" s="28" t="s">
        <v>159</v>
      </c>
      <c r="N146" s="28" t="s">
        <v>182</v>
      </c>
      <c r="O146" s="28" t="s">
        <v>130</v>
      </c>
      <c r="P146" s="28" t="str">
        <f t="shared" si="7"/>
        <v/>
      </c>
      <c r="Q146" s="29">
        <v>4</v>
      </c>
      <c r="R146" s="29">
        <v>19</v>
      </c>
      <c r="S146" s="28"/>
      <c r="T146" s="30" t="str">
        <f>_xlfn.CONCAT(Table5[[#This Row],[OrderID]]," | ",Table5[[#This Row],[City]]," | ",Table5[[#This Row],[ItemName]])</f>
        <v>ORD-1143 | Bhaktapur | Veg Fried Rice</v>
      </c>
      <c r="U146" s="30" t="str">
        <f>UPPER(Table5[[#This Row],[City]])</f>
        <v>BHAKTAPUR</v>
      </c>
      <c r="V146" s="30" t="str">
        <f>LOWER(Table5[[#This Row],[PaymentMethod]])</f>
        <v>khalti</v>
      </c>
      <c r="W146" s="30" cm="1">
        <f t="array" ref="W146">_xlfn.XLOOKUP(TRIM(Table5[[#This Row],[ItemName]]), TRIM(Menu_Price_List_tbl[ItemName]),Menu_Price_List_tbl[UnitPrice_NPR])</f>
        <v>220</v>
      </c>
      <c r="X146" s="31">
        <f t="shared" si="8"/>
        <v>440</v>
      </c>
      <c r="Y146" s="30">
        <f>_xlfn.XLOOKUP(Table5[[#This Row],[City]],City_Delivery_Fee_tbl[City],City_Delivery_Fee_tbl[BaseDeliveryFee_NPR])</f>
        <v>55</v>
      </c>
      <c r="Z14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66</v>
      </c>
      <c r="AA146" s="31">
        <f>Table5[[#This Row],[Order Amount]]+Table5[[#This Row],[Delivery Fee]]-Table5[[#This Row],[Discount Amount]]</f>
        <v>429</v>
      </c>
      <c r="AB146" s="30" t="str">
        <f>_xlfn.XLOOKUP(Table5[[#This Row],[RiderID]], Rider_Directory!$F$2:$F$26, Rider_Directory!$B$2:$B$26)</f>
        <v>Bhaktapur</v>
      </c>
      <c r="AC146" s="30" t="str" cm="1">
        <f t="array" ref="AC146">_xlfn.IFS(Table5[[#This Row],[Final Amount]]&lt;500, "Small", Table5[[#This Row],[Final Amount]]&lt;=1000, "Medium", Table5[[#This Row],[Final Amount]]&gt;1000, "Large")</f>
        <v>Small</v>
      </c>
      <c r="AD146" s="30" t="str">
        <f>_xlfn.LET(_xlpm.expiry,_xlfn.XLOOKUP(Table5[[#This Row],[PromoCode]],Promo_Codes!$A$2:$A$9,Promo_Codes!$F$2:$F$9,DATE(2099,1,1)),IF(Table5[[#This Row],[OrderDate]]&gt;_xlpm.expiry,"Expired Code Used","Valid"))</f>
        <v>Expired Code Used</v>
      </c>
    </row>
    <row r="147" spans="1:30" x14ac:dyDescent="0.3">
      <c r="A147" s="28" t="s">
        <v>203</v>
      </c>
      <c r="B147" s="27">
        <v>45959</v>
      </c>
      <c r="C147" s="28" t="s">
        <v>215</v>
      </c>
      <c r="D147" s="28" t="s">
        <v>1169</v>
      </c>
      <c r="E147" s="27">
        <v>45957</v>
      </c>
      <c r="F147" s="27" t="str">
        <f t="shared" si="6"/>
        <v>New</v>
      </c>
      <c r="G147" s="28" t="s">
        <v>206</v>
      </c>
      <c r="H147" s="28" t="s">
        <v>171</v>
      </c>
      <c r="I147" s="28" t="s">
        <v>147</v>
      </c>
      <c r="J147" s="28" t="s">
        <v>207</v>
      </c>
      <c r="K147" s="29">
        <v>1</v>
      </c>
      <c r="L147" s="28" t="s">
        <v>208</v>
      </c>
      <c r="M147" s="28" t="s">
        <v>159</v>
      </c>
      <c r="N147" s="28"/>
      <c r="O147" s="28" t="s">
        <v>130</v>
      </c>
      <c r="P147" s="28" t="str">
        <f t="shared" si="7"/>
        <v/>
      </c>
      <c r="Q147" s="29">
        <v>5</v>
      </c>
      <c r="R147" s="29">
        <v>29</v>
      </c>
      <c r="S147" s="28"/>
      <c r="T147" s="30" t="str">
        <f>_xlfn.CONCAT(Table5[[#This Row],[OrderID]]," | ",Table5[[#This Row],[City]]," | ",Table5[[#This Row],[ItemName]])</f>
        <v xml:space="preserve">ORD-1144 | Pokhara | Cheese Cake Slice  </v>
      </c>
      <c r="U147" s="30" t="str">
        <f>UPPER(Table5[[#This Row],[City]])</f>
        <v>POKHARA</v>
      </c>
      <c r="V147" s="30" t="str">
        <f>LOWER(Table5[[#This Row],[PaymentMethod]])</f>
        <v>khalti</v>
      </c>
      <c r="W147" s="30" cm="1">
        <f t="array" ref="W147">_xlfn.XLOOKUP(TRIM(Table5[[#This Row],[ItemName]]), TRIM(Menu_Price_List_tbl[ItemName]),Menu_Price_List_tbl[UnitPrice_NPR])</f>
        <v>250</v>
      </c>
      <c r="X147" s="31">
        <f t="shared" si="8"/>
        <v>250</v>
      </c>
      <c r="Y147" s="30">
        <f>_xlfn.XLOOKUP(Table5[[#This Row],[City]],City_Delivery_Fee_tbl[City],City_Delivery_Fee_tbl[BaseDeliveryFee_NPR])</f>
        <v>70</v>
      </c>
      <c r="Z14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47" s="31">
        <f>Table5[[#This Row],[Order Amount]]+Table5[[#This Row],[Delivery Fee]]-Table5[[#This Row],[Discount Amount]]</f>
        <v>320</v>
      </c>
      <c r="AB147" s="30" t="str">
        <f>_xlfn.XLOOKUP(Table5[[#This Row],[RiderID]], Rider_Directory!$F$2:$F$26, Rider_Directory!$B$2:$B$26)</f>
        <v>Pokhara</v>
      </c>
      <c r="AC147" s="30" t="str" cm="1">
        <f t="array" ref="AC147">_xlfn.IFS(Table5[[#This Row],[Final Amount]]&lt;500, "Small", Table5[[#This Row],[Final Amount]]&lt;=1000, "Medium", Table5[[#This Row],[Final Amount]]&gt;1000, "Large")</f>
        <v>Small</v>
      </c>
      <c r="AD147" s="30" t="str">
        <f>_xlfn.LET(_xlpm.expiry,_xlfn.XLOOKUP(Table5[[#This Row],[PromoCode]],Promo_Codes!$A$2:$A$9,Promo_Codes!$F$2:$F$9,DATE(2099,1,1)),IF(Table5[[#This Row],[OrderDate]]&gt;_xlpm.expiry,"Expired Code Used","Valid"))</f>
        <v>Valid</v>
      </c>
    </row>
    <row r="148" spans="1:30" x14ac:dyDescent="0.3">
      <c r="A148" s="28" t="s">
        <v>920</v>
      </c>
      <c r="B148" s="27">
        <v>45960</v>
      </c>
      <c r="C148" s="28" t="s">
        <v>921</v>
      </c>
      <c r="D148" s="28" t="s">
        <v>1278</v>
      </c>
      <c r="E148" s="27">
        <v>45871</v>
      </c>
      <c r="F148" s="27" t="str">
        <f t="shared" si="6"/>
        <v>Returning</v>
      </c>
      <c r="G148" s="28" t="s">
        <v>259</v>
      </c>
      <c r="H148" s="28" t="s">
        <v>192</v>
      </c>
      <c r="I148" s="28" t="s">
        <v>137</v>
      </c>
      <c r="J148" s="28" t="s">
        <v>593</v>
      </c>
      <c r="K148" s="29">
        <v>2</v>
      </c>
      <c r="L148" s="28" t="s">
        <v>260</v>
      </c>
      <c r="M148" s="28" t="s">
        <v>128</v>
      </c>
      <c r="N148" s="28"/>
      <c r="O148" s="28" t="s">
        <v>130</v>
      </c>
      <c r="P148" s="28" t="str">
        <f t="shared" si="7"/>
        <v/>
      </c>
      <c r="Q148" s="29">
        <v>3</v>
      </c>
      <c r="R148" s="29">
        <v>56</v>
      </c>
      <c r="S148" s="28" t="s">
        <v>194</v>
      </c>
      <c r="T148" s="30" t="str">
        <f>_xlfn.CONCAT(Table5[[#This Row],[OrderID]]," | ",Table5[[#This Row],[City]]," | ",Table5[[#This Row],[ItemName]])</f>
        <v>ORD-1145 | Dharan | Mutton Thakali Set</v>
      </c>
      <c r="U148" s="30" t="str">
        <f>UPPER(Table5[[#This Row],[City]])</f>
        <v>DHARAN</v>
      </c>
      <c r="V148" s="30" t="str">
        <f>LOWER(Table5[[#This Row],[PaymentMethod]])</f>
        <v>esewa</v>
      </c>
      <c r="W148" s="30" cm="1">
        <f t="array" ref="W148">_xlfn.XLOOKUP(TRIM(Table5[[#This Row],[ItemName]]), TRIM(Menu_Price_List_tbl[ItemName]),Menu_Price_List_tbl[UnitPrice_NPR])</f>
        <v>650</v>
      </c>
      <c r="X148" s="31">
        <f t="shared" si="8"/>
        <v>1300</v>
      </c>
      <c r="Y148" s="30">
        <f>_xlfn.XLOOKUP(Table5[[#This Row],[City]],City_Delivery_Fee_tbl[City],City_Delivery_Fee_tbl[BaseDeliveryFee_NPR])</f>
        <v>95</v>
      </c>
      <c r="Z14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48" s="31">
        <f>Table5[[#This Row],[Order Amount]]+Table5[[#This Row],[Delivery Fee]]-Table5[[#This Row],[Discount Amount]]</f>
        <v>1395</v>
      </c>
      <c r="AB148" s="30" t="str">
        <f>_xlfn.XLOOKUP(Table5[[#This Row],[RiderID]], Rider_Directory!$F$2:$F$26, Rider_Directory!$B$2:$B$26)</f>
        <v>Dharan</v>
      </c>
      <c r="AC148" s="30" t="str" cm="1">
        <f t="array" ref="AC148">_xlfn.IFS(Table5[[#This Row],[Final Amount]]&lt;500, "Small", Table5[[#This Row],[Final Amount]]&lt;=1000, "Medium", Table5[[#This Row],[Final Amount]]&gt;1000, "Large")</f>
        <v>Large</v>
      </c>
      <c r="AD148" s="30" t="str">
        <f>_xlfn.LET(_xlpm.expiry,_xlfn.XLOOKUP(Table5[[#This Row],[PromoCode]],Promo_Codes!$A$2:$A$9,Promo_Codes!$F$2:$F$9,DATE(2099,1,1)),IF(Table5[[#This Row],[OrderDate]]&gt;_xlpm.expiry,"Expired Code Used","Valid"))</f>
        <v>Valid</v>
      </c>
    </row>
    <row r="149" spans="1:30" x14ac:dyDescent="0.3">
      <c r="A149" s="28" t="s">
        <v>513</v>
      </c>
      <c r="B149" s="27">
        <v>45960</v>
      </c>
      <c r="C149" s="28" t="s">
        <v>1133</v>
      </c>
      <c r="D149" s="28" t="s">
        <v>1223</v>
      </c>
      <c r="E149" s="27">
        <v>45959</v>
      </c>
      <c r="F149" s="27" t="str">
        <f t="shared" si="6"/>
        <v>New</v>
      </c>
      <c r="G149" s="28" t="s">
        <v>206</v>
      </c>
      <c r="H149" s="28" t="s">
        <v>199</v>
      </c>
      <c r="I149" s="28" t="s">
        <v>179</v>
      </c>
      <c r="J149" s="28" t="s">
        <v>368</v>
      </c>
      <c r="K149" s="29">
        <v>3</v>
      </c>
      <c r="L149" s="28" t="s">
        <v>353</v>
      </c>
      <c r="M149" s="28" t="s">
        <v>140</v>
      </c>
      <c r="N149" s="28" t="s">
        <v>240</v>
      </c>
      <c r="O149" s="28" t="s">
        <v>130</v>
      </c>
      <c r="P149" s="28" t="str">
        <f t="shared" si="7"/>
        <v/>
      </c>
      <c r="Q149" s="29">
        <v>3</v>
      </c>
      <c r="R149" s="29">
        <v>29</v>
      </c>
      <c r="S149" s="28"/>
      <c r="T149" s="30" t="str">
        <f>_xlfn.CONCAT(Table5[[#This Row],[OrderID]]," | ",Table5[[#This Row],[City]]," | ",Table5[[#This Row],[ItemName]])</f>
        <v>ORD-1146 | Pokhara | Veg Burger</v>
      </c>
      <c r="U149" s="30" t="str">
        <f>UPPER(Table5[[#This Row],[City]])</f>
        <v>POKHARA</v>
      </c>
      <c r="V149" s="30" t="str">
        <f>LOWER(Table5[[#This Row],[PaymentMethod]])</f>
        <v>cash on delivery</v>
      </c>
      <c r="W149" s="30" cm="1">
        <f t="array" ref="W149">_xlfn.XLOOKUP(TRIM(Table5[[#This Row],[ItemName]]), TRIM(Menu_Price_List_tbl[ItemName]),Menu_Price_List_tbl[UnitPrice_NPR])</f>
        <v>220</v>
      </c>
      <c r="X149" s="31">
        <f t="shared" si="8"/>
        <v>660</v>
      </c>
      <c r="Y149" s="30">
        <f>_xlfn.XLOOKUP(Table5[[#This Row],[City]],City_Delivery_Fee_tbl[City],City_Delivery_Fee_tbl[BaseDeliveryFee_NPR])</f>
        <v>70</v>
      </c>
      <c r="Z14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132</v>
      </c>
      <c r="AA149" s="31">
        <f>Table5[[#This Row],[Order Amount]]+Table5[[#This Row],[Delivery Fee]]-Table5[[#This Row],[Discount Amount]]</f>
        <v>598</v>
      </c>
      <c r="AB149" s="30" t="str">
        <f>_xlfn.XLOOKUP(Table5[[#This Row],[RiderID]], Rider_Directory!$F$2:$F$26, Rider_Directory!$B$2:$B$26)</f>
        <v>Pokhara</v>
      </c>
      <c r="AC149" s="30" t="str" cm="1">
        <f t="array" ref="AC149">_xlfn.IFS(Table5[[#This Row],[Final Amount]]&lt;500, "Small", Table5[[#This Row],[Final Amount]]&lt;=1000, "Medium", Table5[[#This Row],[Final Amount]]&gt;1000, "Large")</f>
        <v>Medium</v>
      </c>
      <c r="AD149" s="30" t="str">
        <f>_xlfn.LET(_xlpm.expiry,_xlfn.XLOOKUP(Table5[[#This Row],[PromoCode]],Promo_Codes!$A$2:$A$9,Promo_Codes!$F$2:$F$9,DATE(2099,1,1)),IF(Table5[[#This Row],[OrderDate]]&gt;_xlpm.expiry,"Expired Code Used","Valid"))</f>
        <v>Valid</v>
      </c>
    </row>
    <row r="150" spans="1:30" x14ac:dyDescent="0.3">
      <c r="A150" s="28" t="s">
        <v>714</v>
      </c>
      <c r="B150" s="27">
        <v>45960</v>
      </c>
      <c r="C150" s="28" t="s">
        <v>1142</v>
      </c>
      <c r="D150" s="28" t="s">
        <v>1255</v>
      </c>
      <c r="E150" s="27">
        <v>45959</v>
      </c>
      <c r="F150" s="27" t="str">
        <f t="shared" si="6"/>
        <v>New</v>
      </c>
      <c r="G150" s="28" t="s">
        <v>170</v>
      </c>
      <c r="H150" s="28" t="s">
        <v>124</v>
      </c>
      <c r="I150" s="28" t="s">
        <v>125</v>
      </c>
      <c r="J150" s="28" t="s">
        <v>295</v>
      </c>
      <c r="K150" s="29">
        <v>4</v>
      </c>
      <c r="L150" s="28" t="s">
        <v>173</v>
      </c>
      <c r="M150" s="28" t="s">
        <v>247</v>
      </c>
      <c r="N150" s="28"/>
      <c r="O150" s="28" t="s">
        <v>130</v>
      </c>
      <c r="P150" s="28" t="str">
        <f t="shared" si="7"/>
        <v/>
      </c>
      <c r="Q150" s="29">
        <v>3</v>
      </c>
      <c r="R150" s="29">
        <v>38</v>
      </c>
      <c r="S150" s="28"/>
      <c r="T150" s="30" t="str">
        <f>_xlfn.CONCAT(Table5[[#This Row],[OrderID]]," | ",Table5[[#This Row],[City]]," | ",Table5[[#This Row],[ItemName]])</f>
        <v>ORD-1147 | Butwal | Sukuti Sandheko</v>
      </c>
      <c r="U150" s="30" t="str">
        <f>UPPER(Table5[[#This Row],[City]])</f>
        <v>BUTWAL</v>
      </c>
      <c r="V150" s="30" t="str">
        <f>LOWER(Table5[[#This Row],[PaymentMethod]])</f>
        <v>ime pay</v>
      </c>
      <c r="W150" s="30" cm="1">
        <f t="array" ref="W150">_xlfn.XLOOKUP(TRIM(Table5[[#This Row],[ItemName]]), TRIM(Menu_Price_List_tbl[ItemName]),Menu_Price_List_tbl[UnitPrice_NPR])</f>
        <v>350</v>
      </c>
      <c r="X150" s="31">
        <f t="shared" si="8"/>
        <v>1400</v>
      </c>
      <c r="Y150" s="30">
        <f>_xlfn.XLOOKUP(Table5[[#This Row],[City]],City_Delivery_Fee_tbl[City],City_Delivery_Fee_tbl[BaseDeliveryFee_NPR])</f>
        <v>85</v>
      </c>
      <c r="Z15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50" s="31">
        <f>Table5[[#This Row],[Order Amount]]+Table5[[#This Row],[Delivery Fee]]-Table5[[#This Row],[Discount Amount]]</f>
        <v>1485</v>
      </c>
      <c r="AB150" s="30" t="str">
        <f>_xlfn.XLOOKUP(Table5[[#This Row],[RiderID]], Rider_Directory!$F$2:$F$26, Rider_Directory!$B$2:$B$26)</f>
        <v>Butwal</v>
      </c>
      <c r="AC150" s="30" t="str" cm="1">
        <f t="array" ref="AC150">_xlfn.IFS(Table5[[#This Row],[Final Amount]]&lt;500, "Small", Table5[[#This Row],[Final Amount]]&lt;=1000, "Medium", Table5[[#This Row],[Final Amount]]&gt;1000, "Large")</f>
        <v>Large</v>
      </c>
      <c r="AD150" s="30" t="str">
        <f>_xlfn.LET(_xlpm.expiry,_xlfn.XLOOKUP(Table5[[#This Row],[PromoCode]],Promo_Codes!$A$2:$A$9,Promo_Codes!$F$2:$F$9,DATE(2099,1,1)),IF(Table5[[#This Row],[OrderDate]]&gt;_xlpm.expiry,"Expired Code Used","Valid"))</f>
        <v>Valid</v>
      </c>
    </row>
    <row r="151" spans="1:30" x14ac:dyDescent="0.3">
      <c r="A151" s="28" t="s">
        <v>670</v>
      </c>
      <c r="B151" s="27">
        <v>45960</v>
      </c>
      <c r="C151" s="28" t="s">
        <v>481</v>
      </c>
      <c r="D151" s="28" t="s">
        <v>1176</v>
      </c>
      <c r="E151" s="27">
        <v>45874</v>
      </c>
      <c r="F151" s="27" t="str">
        <f t="shared" si="6"/>
        <v>Returning</v>
      </c>
      <c r="G151" s="28" t="s">
        <v>206</v>
      </c>
      <c r="H151" s="28" t="s">
        <v>216</v>
      </c>
      <c r="I151" s="28" t="s">
        <v>125</v>
      </c>
      <c r="J151" s="28" t="s">
        <v>313</v>
      </c>
      <c r="K151" s="29">
        <v>3</v>
      </c>
      <c r="L151" s="28" t="s">
        <v>353</v>
      </c>
      <c r="M151" s="28" t="s">
        <v>140</v>
      </c>
      <c r="N151" s="28" t="s">
        <v>336</v>
      </c>
      <c r="O151" s="28" t="s">
        <v>130</v>
      </c>
      <c r="P151" s="28" t="str">
        <f t="shared" si="7"/>
        <v/>
      </c>
      <c r="Q151" s="29">
        <v>5</v>
      </c>
      <c r="R151" s="29">
        <v>54</v>
      </c>
      <c r="S151" s="28"/>
      <c r="T151" s="30" t="str">
        <f>_xlfn.CONCAT(Table5[[#This Row],[OrderID]]," | ",Table5[[#This Row],[City]]," | ",Table5[[#This Row],[ItemName]])</f>
        <v>ORD-1148 | Pokhara |   Chatamari</v>
      </c>
      <c r="U151" s="30" t="str">
        <f>UPPER(Table5[[#This Row],[City]])</f>
        <v>POKHARA</v>
      </c>
      <c r="V151" s="30" t="str">
        <f>LOWER(Table5[[#This Row],[PaymentMethod]])</f>
        <v>cash on delivery</v>
      </c>
      <c r="W151" s="30" cm="1">
        <f t="array" ref="W151">_xlfn.XLOOKUP(TRIM(Table5[[#This Row],[ItemName]]), TRIM(Menu_Price_List_tbl[ItemName]),Menu_Price_List_tbl[UnitPrice_NPR])</f>
        <v>210</v>
      </c>
      <c r="X151" s="31">
        <f t="shared" si="8"/>
        <v>630</v>
      </c>
      <c r="Y151" s="30">
        <f>_xlfn.XLOOKUP(Table5[[#This Row],[City]],City_Delivery_Fee_tbl[City],City_Delivery_Fee_tbl[BaseDeliveryFee_NPR])</f>
        <v>70</v>
      </c>
      <c r="Z15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151" s="31">
        <f>Table5[[#This Row],[Order Amount]]+Table5[[#This Row],[Delivery Fee]]-Table5[[#This Row],[Discount Amount]]</f>
        <v>650</v>
      </c>
      <c r="AB151" s="30" t="str">
        <f>_xlfn.XLOOKUP(Table5[[#This Row],[RiderID]], Rider_Directory!$F$2:$F$26, Rider_Directory!$B$2:$B$26)</f>
        <v>Pokhara</v>
      </c>
      <c r="AC151" s="30" t="str" cm="1">
        <f t="array" ref="AC151">_xlfn.IFS(Table5[[#This Row],[Final Amount]]&lt;500, "Small", Table5[[#This Row],[Final Amount]]&lt;=1000, "Medium", Table5[[#This Row],[Final Amount]]&gt;1000, "Large")</f>
        <v>Medium</v>
      </c>
      <c r="AD151" s="30" t="str">
        <f>_xlfn.LET(_xlpm.expiry,_xlfn.XLOOKUP(Table5[[#This Row],[PromoCode]],Promo_Codes!$A$2:$A$9,Promo_Codes!$F$2:$F$9,DATE(2099,1,1)),IF(Table5[[#This Row],[OrderDate]]&gt;_xlpm.expiry,"Expired Code Used","Valid"))</f>
        <v>Valid</v>
      </c>
    </row>
    <row r="152" spans="1:30" x14ac:dyDescent="0.3">
      <c r="A152" s="28" t="s">
        <v>903</v>
      </c>
      <c r="B152" s="27">
        <v>45960</v>
      </c>
      <c r="C152" s="28" t="s">
        <v>1139</v>
      </c>
      <c r="D152" s="28" t="s">
        <v>1251</v>
      </c>
      <c r="E152" s="27">
        <v>45960</v>
      </c>
      <c r="F152" s="27" t="str">
        <f t="shared" si="6"/>
        <v>New</v>
      </c>
      <c r="G152" s="28" t="s">
        <v>198</v>
      </c>
      <c r="H152" s="28" t="s">
        <v>245</v>
      </c>
      <c r="I152" s="28" t="s">
        <v>233</v>
      </c>
      <c r="J152" s="28" t="s">
        <v>904</v>
      </c>
      <c r="K152" s="29">
        <v>2</v>
      </c>
      <c r="L152" s="28" t="s">
        <v>251</v>
      </c>
      <c r="M152" s="28" t="s">
        <v>128</v>
      </c>
      <c r="N152" s="28" t="s">
        <v>182</v>
      </c>
      <c r="O152" s="28" t="s">
        <v>130</v>
      </c>
      <c r="P152" s="28" t="str">
        <f t="shared" si="7"/>
        <v/>
      </c>
      <c r="Q152" s="29">
        <v>5</v>
      </c>
      <c r="R152" s="29">
        <v>4</v>
      </c>
      <c r="S152" s="28"/>
      <c r="T152" s="30" t="str">
        <f>_xlfn.CONCAT(Table5[[#This Row],[OrderID]]," | ",Table5[[#This Row],[City]]," | ",Table5[[#This Row],[ItemName]])</f>
        <v>ORD-1149 | Lalitpur |   Buff Momo (Steamed)</v>
      </c>
      <c r="U152" s="30" t="str">
        <f>UPPER(Table5[[#This Row],[City]])</f>
        <v>LALITPUR</v>
      </c>
      <c r="V152" s="30" t="str">
        <f>LOWER(Table5[[#This Row],[PaymentMethod]])</f>
        <v>esewa</v>
      </c>
      <c r="W152" s="30" cm="1">
        <f t="array" ref="W152">_xlfn.XLOOKUP(TRIM(Table5[[#This Row],[ItemName]]), TRIM(Menu_Price_List_tbl[ItemName]),Menu_Price_List_tbl[UnitPrice_NPR])</f>
        <v>170</v>
      </c>
      <c r="X152" s="31">
        <f t="shared" si="8"/>
        <v>340</v>
      </c>
      <c r="Y152" s="30">
        <f>_xlfn.XLOOKUP(Table5[[#This Row],[City]],City_Delivery_Fee_tbl[City],City_Delivery_Fee_tbl[BaseDeliveryFee_NPR])</f>
        <v>50</v>
      </c>
      <c r="Z15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51</v>
      </c>
      <c r="AA152" s="31">
        <f>Table5[[#This Row],[Order Amount]]+Table5[[#This Row],[Delivery Fee]]-Table5[[#This Row],[Discount Amount]]</f>
        <v>339</v>
      </c>
      <c r="AB152" s="30" t="str">
        <f>_xlfn.XLOOKUP(Table5[[#This Row],[RiderID]], Rider_Directory!$F$2:$F$26, Rider_Directory!$B$2:$B$26)</f>
        <v>Lalitpur</v>
      </c>
      <c r="AC152" s="30" t="str" cm="1">
        <f t="array" ref="AC152">_xlfn.IFS(Table5[[#This Row],[Final Amount]]&lt;500, "Small", Table5[[#This Row],[Final Amount]]&lt;=1000, "Medium", Table5[[#This Row],[Final Amount]]&gt;1000, "Large")</f>
        <v>Small</v>
      </c>
      <c r="AD152" s="30" t="str">
        <f>_xlfn.LET(_xlpm.expiry,_xlfn.XLOOKUP(Table5[[#This Row],[PromoCode]],Promo_Codes!$A$2:$A$9,Promo_Codes!$F$2:$F$9,DATE(2099,1,1)),IF(Table5[[#This Row],[OrderDate]]&gt;_xlpm.expiry,"Expired Code Used","Valid"))</f>
        <v>Valid</v>
      </c>
    </row>
    <row r="153" spans="1:30" x14ac:dyDescent="0.3">
      <c r="A153" s="28" t="s">
        <v>903</v>
      </c>
      <c r="B153" s="27">
        <v>45960</v>
      </c>
      <c r="C153" s="28" t="s">
        <v>1139</v>
      </c>
      <c r="D153" s="28" t="s">
        <v>1251</v>
      </c>
      <c r="E153" s="27">
        <v>45960</v>
      </c>
      <c r="F153" s="27" t="str">
        <f t="shared" si="6"/>
        <v>New</v>
      </c>
      <c r="G153" s="28" t="s">
        <v>198</v>
      </c>
      <c r="H153" s="28" t="s">
        <v>245</v>
      </c>
      <c r="I153" s="28" t="s">
        <v>233</v>
      </c>
      <c r="J153" s="28" t="s">
        <v>904</v>
      </c>
      <c r="K153" s="29">
        <v>1</v>
      </c>
      <c r="L153" s="28" t="s">
        <v>251</v>
      </c>
      <c r="M153" s="28" t="s">
        <v>128</v>
      </c>
      <c r="N153" s="28" t="s">
        <v>182</v>
      </c>
      <c r="O153" s="28" t="s">
        <v>130</v>
      </c>
      <c r="P153" s="28" t="str">
        <f t="shared" si="7"/>
        <v/>
      </c>
      <c r="Q153" s="28"/>
      <c r="R153" s="29">
        <v>4</v>
      </c>
      <c r="S153" s="28"/>
      <c r="T153" s="30" t="str">
        <f>_xlfn.CONCAT(Table5[[#This Row],[OrderID]]," | ",Table5[[#This Row],[City]]," | ",Table5[[#This Row],[ItemName]])</f>
        <v>ORD-1149 | Lalitpur |   Buff Momo (Steamed)</v>
      </c>
      <c r="U153" s="30" t="str">
        <f>UPPER(Table5[[#This Row],[City]])</f>
        <v>LALITPUR</v>
      </c>
      <c r="V153" s="30" t="str">
        <f>LOWER(Table5[[#This Row],[PaymentMethod]])</f>
        <v>esewa</v>
      </c>
      <c r="W153" s="30" cm="1">
        <f t="array" ref="W153">_xlfn.XLOOKUP(TRIM(Table5[[#This Row],[ItemName]]), TRIM(Menu_Price_List_tbl[ItemName]),Menu_Price_List_tbl[UnitPrice_NPR])</f>
        <v>170</v>
      </c>
      <c r="X153" s="31">
        <f t="shared" si="8"/>
        <v>170</v>
      </c>
      <c r="Y153" s="30">
        <f>_xlfn.XLOOKUP(Table5[[#This Row],[City]],City_Delivery_Fee_tbl[City],City_Delivery_Fee_tbl[BaseDeliveryFee_NPR])</f>
        <v>50</v>
      </c>
      <c r="Z15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25.5</v>
      </c>
      <c r="AA153" s="31">
        <f>Table5[[#This Row],[Order Amount]]+Table5[[#This Row],[Delivery Fee]]-Table5[[#This Row],[Discount Amount]]</f>
        <v>194.5</v>
      </c>
      <c r="AB153" s="30" t="str">
        <f>_xlfn.XLOOKUP(Table5[[#This Row],[RiderID]], Rider_Directory!$F$2:$F$26, Rider_Directory!$B$2:$B$26)</f>
        <v>Lalitpur</v>
      </c>
      <c r="AC153" s="30" t="str" cm="1">
        <f t="array" ref="AC153">_xlfn.IFS(Table5[[#This Row],[Final Amount]]&lt;500, "Small", Table5[[#This Row],[Final Amount]]&lt;=1000, "Medium", Table5[[#This Row],[Final Amount]]&gt;1000, "Large")</f>
        <v>Small</v>
      </c>
      <c r="AD153" s="30" t="str">
        <f>_xlfn.LET(_xlpm.expiry,_xlfn.XLOOKUP(Table5[[#This Row],[PromoCode]],Promo_Codes!$A$2:$A$9,Promo_Codes!$F$2:$F$9,DATE(2099,1,1)),IF(Table5[[#This Row],[OrderDate]]&gt;_xlpm.expiry,"Expired Code Used","Valid"))</f>
        <v>Valid</v>
      </c>
    </row>
    <row r="154" spans="1:30" x14ac:dyDescent="0.3">
      <c r="A154" s="28" t="s">
        <v>515</v>
      </c>
      <c r="B154" s="27">
        <v>45960</v>
      </c>
      <c r="C154" s="28" t="s">
        <v>220</v>
      </c>
      <c r="D154" s="28" t="s">
        <v>1171</v>
      </c>
      <c r="E154" s="27">
        <v>45904</v>
      </c>
      <c r="F154" s="27" t="str">
        <f t="shared" si="6"/>
        <v>Returning</v>
      </c>
      <c r="G154" s="28" t="s">
        <v>259</v>
      </c>
      <c r="H154" s="28" t="s">
        <v>163</v>
      </c>
      <c r="I154" s="28" t="s">
        <v>164</v>
      </c>
      <c r="J154" s="28" t="s">
        <v>517</v>
      </c>
      <c r="K154" s="29">
        <v>2</v>
      </c>
      <c r="L154" s="28" t="s">
        <v>260</v>
      </c>
      <c r="M154" s="28" t="s">
        <v>159</v>
      </c>
      <c r="N154" s="28" t="s">
        <v>518</v>
      </c>
      <c r="O154" s="28" t="s">
        <v>130</v>
      </c>
      <c r="P154" s="28" t="str">
        <f t="shared" si="7"/>
        <v/>
      </c>
      <c r="Q154" s="29">
        <v>3</v>
      </c>
      <c r="R154" s="29">
        <v>59</v>
      </c>
      <c r="S154" s="28"/>
      <c r="T154" s="30" t="str">
        <f>_xlfn.CONCAT(Table5[[#This Row],[OrderID]]," | ",Table5[[#This Row],[City]]," | ",Table5[[#This Row],[ItemName]])</f>
        <v>ORD-1150 | Dharan | Mango Juice</v>
      </c>
      <c r="U154" s="30" t="str">
        <f>UPPER(Table5[[#This Row],[City]])</f>
        <v>DHARAN</v>
      </c>
      <c r="V154" s="30" t="str">
        <f>LOWER(Table5[[#This Row],[PaymentMethod]])</f>
        <v>khalti</v>
      </c>
      <c r="W154" s="30" cm="1">
        <f t="array" ref="W154">_xlfn.XLOOKUP(TRIM(Table5[[#This Row],[ItemName]]), TRIM(Menu_Price_List_tbl[ItemName]),Menu_Price_List_tbl[UnitPrice_NPR])</f>
        <v>120</v>
      </c>
      <c r="X154" s="31">
        <f t="shared" si="8"/>
        <v>240</v>
      </c>
      <c r="Y154" s="30">
        <f>_xlfn.XLOOKUP(Table5[[#This Row],[City]],City_Delivery_Fee_tbl[City],City_Delivery_Fee_tbl[BaseDeliveryFee_NPR])</f>
        <v>95</v>
      </c>
      <c r="Z15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154" s="31">
        <f>Table5[[#This Row],[Order Amount]]+Table5[[#This Row],[Delivery Fee]]-Table5[[#This Row],[Discount Amount]]</f>
        <v>235</v>
      </c>
      <c r="AB154" s="30" t="str">
        <f>_xlfn.XLOOKUP(Table5[[#This Row],[RiderID]], Rider_Directory!$F$2:$F$26, Rider_Directory!$B$2:$B$26)</f>
        <v>Dharan</v>
      </c>
      <c r="AC154" s="30" t="str" cm="1">
        <f t="array" ref="AC154">_xlfn.IFS(Table5[[#This Row],[Final Amount]]&lt;500, "Small", Table5[[#This Row],[Final Amount]]&lt;=1000, "Medium", Table5[[#This Row],[Final Amount]]&gt;1000, "Large")</f>
        <v>Small</v>
      </c>
      <c r="AD154" s="30" t="str">
        <f>_xlfn.LET(_xlpm.expiry,_xlfn.XLOOKUP(Table5[[#This Row],[PromoCode]],Promo_Codes!$A$2:$A$9,Promo_Codes!$F$2:$F$9,DATE(2099,1,1)),IF(Table5[[#This Row],[OrderDate]]&gt;_xlpm.expiry,"Expired Code Used","Valid"))</f>
        <v>Valid</v>
      </c>
    </row>
    <row r="155" spans="1:30" x14ac:dyDescent="0.3">
      <c r="A155" s="28" t="s">
        <v>488</v>
      </c>
      <c r="B155" s="27">
        <v>45961</v>
      </c>
      <c r="C155" s="28" t="s">
        <v>1132</v>
      </c>
      <c r="D155" s="28" t="s">
        <v>1220</v>
      </c>
      <c r="E155" s="27">
        <v>45926</v>
      </c>
      <c r="F155" s="27" t="str">
        <f t="shared" si="6"/>
        <v>Returning</v>
      </c>
      <c r="G155" s="28" t="s">
        <v>170</v>
      </c>
      <c r="H155" s="28" t="s">
        <v>245</v>
      </c>
      <c r="I155" s="28" t="s">
        <v>233</v>
      </c>
      <c r="J155" s="28" t="s">
        <v>363</v>
      </c>
      <c r="K155" s="29">
        <v>4</v>
      </c>
      <c r="L155" s="28" t="s">
        <v>173</v>
      </c>
      <c r="M155" s="28" t="s">
        <v>140</v>
      </c>
      <c r="N155" s="28" t="s">
        <v>182</v>
      </c>
      <c r="O155" s="28" t="s">
        <v>130</v>
      </c>
      <c r="P155" s="28" t="str">
        <f t="shared" si="7"/>
        <v/>
      </c>
      <c r="Q155" s="29">
        <v>3</v>
      </c>
      <c r="R155" s="29">
        <v>36</v>
      </c>
      <c r="S155" s="28" t="s">
        <v>194</v>
      </c>
      <c r="T155" s="30" t="str">
        <f>_xlfn.CONCAT(Table5[[#This Row],[OrderID]]," | ",Table5[[#This Row],[City]]," | ",Table5[[#This Row],[ItemName]])</f>
        <v>ORD-1151 | Butwal | Jhol Momo</v>
      </c>
      <c r="U155" s="30" t="str">
        <f>UPPER(Table5[[#This Row],[City]])</f>
        <v>BUTWAL</v>
      </c>
      <c r="V155" s="30" t="str">
        <f>LOWER(Table5[[#This Row],[PaymentMethod]])</f>
        <v>cash on delivery</v>
      </c>
      <c r="W155" s="30" cm="1">
        <f t="array" ref="W155">_xlfn.XLOOKUP(TRIM(Table5[[#This Row],[ItemName]]), TRIM(Menu_Price_List_tbl[ItemName]),Menu_Price_List_tbl[UnitPrice_NPR])</f>
        <v>200</v>
      </c>
      <c r="X155" s="31">
        <f t="shared" si="8"/>
        <v>800</v>
      </c>
      <c r="Y155" s="30">
        <f>_xlfn.XLOOKUP(Table5[[#This Row],[City]],City_Delivery_Fee_tbl[City],City_Delivery_Fee_tbl[BaseDeliveryFee_NPR])</f>
        <v>85</v>
      </c>
      <c r="Z15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120</v>
      </c>
      <c r="AA155" s="31">
        <f>Table5[[#This Row],[Order Amount]]+Table5[[#This Row],[Delivery Fee]]-Table5[[#This Row],[Discount Amount]]</f>
        <v>765</v>
      </c>
      <c r="AB155" s="30" t="str">
        <f>_xlfn.XLOOKUP(Table5[[#This Row],[RiderID]], Rider_Directory!$F$2:$F$26, Rider_Directory!$B$2:$B$26)</f>
        <v>Butwal</v>
      </c>
      <c r="AC155" s="30" t="str" cm="1">
        <f t="array" ref="AC155">_xlfn.IFS(Table5[[#This Row],[Final Amount]]&lt;500, "Small", Table5[[#This Row],[Final Amount]]&lt;=1000, "Medium", Table5[[#This Row],[Final Amount]]&gt;1000, "Large")</f>
        <v>Medium</v>
      </c>
      <c r="AD155" s="30" t="str">
        <f>_xlfn.LET(_xlpm.expiry,_xlfn.XLOOKUP(Table5[[#This Row],[PromoCode]],Promo_Codes!$A$2:$A$9,Promo_Codes!$F$2:$F$9,DATE(2099,1,1)),IF(Table5[[#This Row],[OrderDate]]&gt;_xlpm.expiry,"Expired Code Used","Valid"))</f>
        <v>Valid</v>
      </c>
    </row>
    <row r="156" spans="1:30" x14ac:dyDescent="0.3">
      <c r="A156" s="28" t="s">
        <v>740</v>
      </c>
      <c r="B156" s="27">
        <v>45961</v>
      </c>
      <c r="C156" s="28" t="s">
        <v>741</v>
      </c>
      <c r="D156" s="28" t="s">
        <v>1180</v>
      </c>
      <c r="E156" s="27">
        <v>45961</v>
      </c>
      <c r="F156" s="27" t="str">
        <f t="shared" si="6"/>
        <v>New</v>
      </c>
      <c r="G156" s="28" t="s">
        <v>135</v>
      </c>
      <c r="H156" s="28" t="s">
        <v>171</v>
      </c>
      <c r="I156" s="28" t="s">
        <v>147</v>
      </c>
      <c r="J156" s="28" t="s">
        <v>742</v>
      </c>
      <c r="K156" s="29">
        <v>2</v>
      </c>
      <c r="L156" s="28" t="s">
        <v>265</v>
      </c>
      <c r="M156" s="28" t="s">
        <v>247</v>
      </c>
      <c r="N156" s="28" t="s">
        <v>182</v>
      </c>
      <c r="O156" s="28" t="s">
        <v>279</v>
      </c>
      <c r="P156" s="28" t="str">
        <f t="shared" si="7"/>
        <v/>
      </c>
      <c r="Q156" s="28"/>
      <c r="R156" s="29">
        <v>21</v>
      </c>
      <c r="S156" s="28" t="s">
        <v>284</v>
      </c>
      <c r="T156" s="30" t="str">
        <f>_xlfn.CONCAT(Table5[[#This Row],[OrderID]]," | ",Table5[[#This Row],[City]]," | ",Table5[[#This Row],[ItemName]])</f>
        <v>ORD-1152 | Kathmandu | BARFI (5 PCS)</v>
      </c>
      <c r="U156" s="30" t="str">
        <f>UPPER(Table5[[#This Row],[City]])</f>
        <v>KATHMANDU</v>
      </c>
      <c r="V156" s="30" t="str">
        <f>LOWER(Table5[[#This Row],[PaymentMethod]])</f>
        <v>ime pay</v>
      </c>
      <c r="W156" s="30" cm="1">
        <f t="array" ref="W156">_xlfn.XLOOKUP(TRIM(Table5[[#This Row],[ItemName]]), TRIM(Menu_Price_List_tbl[ItemName]),Menu_Price_List_tbl[UnitPrice_NPR])</f>
        <v>220</v>
      </c>
      <c r="X156" s="31">
        <f t="shared" si="8"/>
        <v>440</v>
      </c>
      <c r="Y156" s="30">
        <f>_xlfn.XLOOKUP(Table5[[#This Row],[City]],City_Delivery_Fee_tbl[City],City_Delivery_Fee_tbl[BaseDeliveryFee_NPR])</f>
        <v>50</v>
      </c>
      <c r="Z15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66</v>
      </c>
      <c r="AA156" s="31">
        <f>Table5[[#This Row],[Order Amount]]+Table5[[#This Row],[Delivery Fee]]-Table5[[#This Row],[Discount Amount]]</f>
        <v>424</v>
      </c>
      <c r="AB156" s="30" t="str">
        <f>_xlfn.XLOOKUP(Table5[[#This Row],[RiderID]], Rider_Directory!$F$2:$F$26, Rider_Directory!$B$2:$B$26)</f>
        <v>Kathmandu</v>
      </c>
      <c r="AC156" s="30" t="str" cm="1">
        <f t="array" ref="AC156">_xlfn.IFS(Table5[[#This Row],[Final Amount]]&lt;500, "Small", Table5[[#This Row],[Final Amount]]&lt;=1000, "Medium", Table5[[#This Row],[Final Amount]]&gt;1000, "Large")</f>
        <v>Small</v>
      </c>
      <c r="AD156" s="30" t="str">
        <f>_xlfn.LET(_xlpm.expiry,_xlfn.XLOOKUP(Table5[[#This Row],[PromoCode]],Promo_Codes!$A$2:$A$9,Promo_Codes!$F$2:$F$9,DATE(2099,1,1)),IF(Table5[[#This Row],[OrderDate]]&gt;_xlpm.expiry,"Expired Code Used","Valid"))</f>
        <v>Valid</v>
      </c>
    </row>
    <row r="157" spans="1:30" x14ac:dyDescent="0.3">
      <c r="A157" s="28" t="s">
        <v>832</v>
      </c>
      <c r="B157" s="27">
        <v>45961</v>
      </c>
      <c r="C157" s="28" t="s">
        <v>1131</v>
      </c>
      <c r="D157" s="28" t="s">
        <v>1242</v>
      </c>
      <c r="E157" s="27">
        <v>45956</v>
      </c>
      <c r="F157" s="27" t="str">
        <f t="shared" si="6"/>
        <v>Returning</v>
      </c>
      <c r="G157" s="28" t="s">
        <v>135</v>
      </c>
      <c r="H157" s="28" t="s">
        <v>538</v>
      </c>
      <c r="I157" s="28" t="s">
        <v>351</v>
      </c>
      <c r="J157" s="28" t="s">
        <v>352</v>
      </c>
      <c r="K157" s="29">
        <v>1</v>
      </c>
      <c r="L157" s="28" t="s">
        <v>223</v>
      </c>
      <c r="M157" s="28" t="s">
        <v>140</v>
      </c>
      <c r="N157" s="28" t="s">
        <v>182</v>
      </c>
      <c r="O157" s="28" t="s">
        <v>130</v>
      </c>
      <c r="P157" s="28" t="str">
        <f t="shared" si="7"/>
        <v/>
      </c>
      <c r="Q157" s="29">
        <v>5</v>
      </c>
      <c r="R157" s="29">
        <v>25</v>
      </c>
      <c r="S157" s="28"/>
      <c r="T157" s="30" t="str">
        <f>_xlfn.CONCAT(Table5[[#This Row],[OrderID]]," | ",Table5[[#This Row],[City]]," | ",Table5[[#This Row],[ItemName]])</f>
        <v>ORD-1153 | Kathmandu | Buff Sekuwa</v>
      </c>
      <c r="U157" s="30" t="str">
        <f>UPPER(Table5[[#This Row],[City]])</f>
        <v>KATHMANDU</v>
      </c>
      <c r="V157" s="30" t="str">
        <f>LOWER(Table5[[#This Row],[PaymentMethod]])</f>
        <v>cash on delivery</v>
      </c>
      <c r="W157" s="30" cm="1">
        <f t="array" ref="W157">_xlfn.XLOOKUP(TRIM(Table5[[#This Row],[ItemName]]), TRIM(Menu_Price_List_tbl[ItemName]),Menu_Price_List_tbl[UnitPrice_NPR])</f>
        <v>380</v>
      </c>
      <c r="X157" s="31">
        <f t="shared" si="8"/>
        <v>380</v>
      </c>
      <c r="Y157" s="30">
        <f>_xlfn.XLOOKUP(Table5[[#This Row],[City]],City_Delivery_Fee_tbl[City],City_Delivery_Fee_tbl[BaseDeliveryFee_NPR])</f>
        <v>50</v>
      </c>
      <c r="Z15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57</v>
      </c>
      <c r="AA157" s="31">
        <f>Table5[[#This Row],[Order Amount]]+Table5[[#This Row],[Delivery Fee]]-Table5[[#This Row],[Discount Amount]]</f>
        <v>373</v>
      </c>
      <c r="AB157" s="30" t="str">
        <f>_xlfn.XLOOKUP(Table5[[#This Row],[RiderID]], Rider_Directory!$F$2:$F$26, Rider_Directory!$B$2:$B$26)</f>
        <v>Kathmandu</v>
      </c>
      <c r="AC157" s="30" t="str" cm="1">
        <f t="array" ref="AC157">_xlfn.IFS(Table5[[#This Row],[Final Amount]]&lt;500, "Small", Table5[[#This Row],[Final Amount]]&lt;=1000, "Medium", Table5[[#This Row],[Final Amount]]&gt;1000, "Large")</f>
        <v>Small</v>
      </c>
      <c r="AD157" s="30" t="str">
        <f>_xlfn.LET(_xlpm.expiry,_xlfn.XLOOKUP(Table5[[#This Row],[PromoCode]],Promo_Codes!$A$2:$A$9,Promo_Codes!$F$2:$F$9,DATE(2099,1,1)),IF(Table5[[#This Row],[OrderDate]]&gt;_xlpm.expiry,"Expired Code Used","Valid"))</f>
        <v>Valid</v>
      </c>
    </row>
    <row r="158" spans="1:30" x14ac:dyDescent="0.3">
      <c r="A158" s="28" t="s">
        <v>944</v>
      </c>
      <c r="B158" s="27">
        <v>45961</v>
      </c>
      <c r="C158" s="28" t="s">
        <v>945</v>
      </c>
      <c r="D158" s="28" t="s">
        <v>1233</v>
      </c>
      <c r="E158" s="27">
        <v>45961</v>
      </c>
      <c r="F158" s="27" t="str">
        <f t="shared" si="6"/>
        <v>New</v>
      </c>
      <c r="G158" s="28" t="s">
        <v>135</v>
      </c>
      <c r="H158" s="28" t="s">
        <v>192</v>
      </c>
      <c r="I158" s="28" t="s">
        <v>137</v>
      </c>
      <c r="J158" s="28" t="s">
        <v>269</v>
      </c>
      <c r="K158" s="29">
        <v>2</v>
      </c>
      <c r="L158" s="28" t="s">
        <v>265</v>
      </c>
      <c r="M158" s="28" t="s">
        <v>159</v>
      </c>
      <c r="N158" s="28" t="s">
        <v>182</v>
      </c>
      <c r="O158" s="28" t="s">
        <v>130</v>
      </c>
      <c r="P158" s="28" t="str">
        <f t="shared" si="7"/>
        <v/>
      </c>
      <c r="Q158" s="29">
        <v>5</v>
      </c>
      <c r="R158" s="29">
        <v>23</v>
      </c>
      <c r="S158" s="28"/>
      <c r="T158" s="30" t="str">
        <f>_xlfn.CONCAT(Table5[[#This Row],[OrderID]]," | ",Table5[[#This Row],[City]]," | ",Table5[[#This Row],[ItemName]])</f>
        <v>ORD-1154 | Kathmandu | Veg Thakali Set</v>
      </c>
      <c r="U158" s="30" t="str">
        <f>UPPER(Table5[[#This Row],[City]])</f>
        <v>KATHMANDU</v>
      </c>
      <c r="V158" s="30" t="str">
        <f>LOWER(Table5[[#This Row],[PaymentMethod]])</f>
        <v>khalti</v>
      </c>
      <c r="W158" s="30" cm="1">
        <f t="array" ref="W158">_xlfn.XLOOKUP(TRIM(Table5[[#This Row],[ItemName]]), TRIM(Menu_Price_List_tbl[ItemName]),Menu_Price_List_tbl[UnitPrice_NPR])</f>
        <v>380</v>
      </c>
      <c r="X158" s="31">
        <f t="shared" si="8"/>
        <v>760</v>
      </c>
      <c r="Y158" s="30">
        <f>_xlfn.XLOOKUP(Table5[[#This Row],[City]],City_Delivery_Fee_tbl[City],City_Delivery_Fee_tbl[BaseDeliveryFee_NPR])</f>
        <v>50</v>
      </c>
      <c r="Z15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114</v>
      </c>
      <c r="AA158" s="31">
        <f>Table5[[#This Row],[Order Amount]]+Table5[[#This Row],[Delivery Fee]]-Table5[[#This Row],[Discount Amount]]</f>
        <v>696</v>
      </c>
      <c r="AB158" s="30" t="str">
        <f>_xlfn.XLOOKUP(Table5[[#This Row],[RiderID]], Rider_Directory!$F$2:$F$26, Rider_Directory!$B$2:$B$26)</f>
        <v>Kathmandu</v>
      </c>
      <c r="AC158" s="30" t="str" cm="1">
        <f t="array" ref="AC158">_xlfn.IFS(Table5[[#This Row],[Final Amount]]&lt;500, "Small", Table5[[#This Row],[Final Amount]]&lt;=1000, "Medium", Table5[[#This Row],[Final Amount]]&gt;1000, "Large")</f>
        <v>Medium</v>
      </c>
      <c r="AD158" s="30" t="str">
        <f>_xlfn.LET(_xlpm.expiry,_xlfn.XLOOKUP(Table5[[#This Row],[PromoCode]],Promo_Codes!$A$2:$A$9,Promo_Codes!$F$2:$F$9,DATE(2099,1,1)),IF(Table5[[#This Row],[OrderDate]]&gt;_xlpm.expiry,"Expired Code Used","Valid"))</f>
        <v>Valid</v>
      </c>
    </row>
    <row r="159" spans="1:30" x14ac:dyDescent="0.3">
      <c r="A159" s="28" t="s">
        <v>699</v>
      </c>
      <c r="B159" s="27">
        <v>45961</v>
      </c>
      <c r="C159" s="28" t="s">
        <v>1131</v>
      </c>
      <c r="D159" s="28" t="s">
        <v>1219</v>
      </c>
      <c r="E159" s="27">
        <v>45937</v>
      </c>
      <c r="F159" s="27" t="str">
        <f t="shared" si="6"/>
        <v>Returning</v>
      </c>
      <c r="G159" s="28" t="s">
        <v>135</v>
      </c>
      <c r="H159" s="28" t="s">
        <v>339</v>
      </c>
      <c r="I159" s="28" t="s">
        <v>233</v>
      </c>
      <c r="J159" s="28" t="s">
        <v>701</v>
      </c>
      <c r="K159" s="29">
        <v>2</v>
      </c>
      <c r="L159" s="28" t="s">
        <v>187</v>
      </c>
      <c r="M159" s="28" t="s">
        <v>128</v>
      </c>
      <c r="N159" s="28" t="s">
        <v>182</v>
      </c>
      <c r="O159" s="28" t="s">
        <v>279</v>
      </c>
      <c r="P159" s="28" t="str">
        <f t="shared" si="7"/>
        <v/>
      </c>
      <c r="Q159" s="28"/>
      <c r="R159" s="29">
        <v>34</v>
      </c>
      <c r="S159" s="28"/>
      <c r="T159" s="30" t="str">
        <f>_xlfn.CONCAT(Table5[[#This Row],[OrderID]]," | ",Table5[[#This Row],[City]]," | ",Table5[[#This Row],[ItemName]])</f>
        <v>ORD-1155 | Kathmandu | CHICKEN MOMO (FRIED)</v>
      </c>
      <c r="U159" s="30" t="str">
        <f>UPPER(Table5[[#This Row],[City]])</f>
        <v>KATHMANDU</v>
      </c>
      <c r="V159" s="30" t="str">
        <f>LOWER(Table5[[#This Row],[PaymentMethod]])</f>
        <v>esewa</v>
      </c>
      <c r="W159" s="30" cm="1">
        <f t="array" ref="W159">_xlfn.XLOOKUP(TRIM(Table5[[#This Row],[ItemName]]), TRIM(Menu_Price_List_tbl[ItemName]),Menu_Price_List_tbl[UnitPrice_NPR])</f>
        <v>210</v>
      </c>
      <c r="X159" s="31">
        <f t="shared" si="8"/>
        <v>420</v>
      </c>
      <c r="Y159" s="30">
        <f>_xlfn.XLOOKUP(Table5[[#This Row],[City]],City_Delivery_Fee_tbl[City],City_Delivery_Fee_tbl[BaseDeliveryFee_NPR])</f>
        <v>50</v>
      </c>
      <c r="Z15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63</v>
      </c>
      <c r="AA159" s="31">
        <f>Table5[[#This Row],[Order Amount]]+Table5[[#This Row],[Delivery Fee]]-Table5[[#This Row],[Discount Amount]]</f>
        <v>407</v>
      </c>
      <c r="AB159" s="30" t="str">
        <f>_xlfn.XLOOKUP(Table5[[#This Row],[RiderID]], Rider_Directory!$F$2:$F$26, Rider_Directory!$B$2:$B$26)</f>
        <v>Kathmandu</v>
      </c>
      <c r="AC159" s="30" t="str" cm="1">
        <f t="array" ref="AC159">_xlfn.IFS(Table5[[#This Row],[Final Amount]]&lt;500, "Small", Table5[[#This Row],[Final Amount]]&lt;=1000, "Medium", Table5[[#This Row],[Final Amount]]&gt;1000, "Large")</f>
        <v>Small</v>
      </c>
      <c r="AD159" s="30" t="str">
        <f>_xlfn.LET(_xlpm.expiry,_xlfn.XLOOKUP(Table5[[#This Row],[PromoCode]],Promo_Codes!$A$2:$A$9,Promo_Codes!$F$2:$F$9,DATE(2099,1,1)),IF(Table5[[#This Row],[OrderDate]]&gt;_xlpm.expiry,"Expired Code Used","Valid"))</f>
        <v>Valid</v>
      </c>
    </row>
    <row r="160" spans="1:30" x14ac:dyDescent="0.3">
      <c r="A160" s="28" t="s">
        <v>475</v>
      </c>
      <c r="B160" s="27">
        <v>45962</v>
      </c>
      <c r="C160" s="28" t="s">
        <v>416</v>
      </c>
      <c r="D160" s="28" t="s">
        <v>1205</v>
      </c>
      <c r="E160" s="27">
        <v>45871</v>
      </c>
      <c r="F160" s="27" t="str">
        <f t="shared" si="6"/>
        <v>Returning</v>
      </c>
      <c r="G160" s="28" t="s">
        <v>206</v>
      </c>
      <c r="H160" s="28" t="s">
        <v>288</v>
      </c>
      <c r="I160" s="28" t="s">
        <v>156</v>
      </c>
      <c r="J160" s="28" t="s">
        <v>306</v>
      </c>
      <c r="K160" s="29">
        <v>2</v>
      </c>
      <c r="L160" s="28" t="s">
        <v>298</v>
      </c>
      <c r="M160" s="28" t="s">
        <v>128</v>
      </c>
      <c r="N160" s="28" t="s">
        <v>182</v>
      </c>
      <c r="O160" s="28"/>
      <c r="P160" s="28" t="str">
        <f t="shared" si="7"/>
        <v xml:space="preserve"> NEED REVIEW</v>
      </c>
      <c r="Q160" s="28"/>
      <c r="R160" s="29">
        <v>44</v>
      </c>
      <c r="S160" s="28"/>
      <c r="T160" s="30" t="str">
        <f>_xlfn.CONCAT(Table5[[#This Row],[OrderID]]," | ",Table5[[#This Row],[City]]," | ",Table5[[#This Row],[ItemName]])</f>
        <v>ORD-1156 | Pokhara | chicken fried rice</v>
      </c>
      <c r="U160" s="30" t="str">
        <f>UPPER(Table5[[#This Row],[City]])</f>
        <v>POKHARA</v>
      </c>
      <c r="V160" s="30" t="str">
        <f>LOWER(Table5[[#This Row],[PaymentMethod]])</f>
        <v>esewa</v>
      </c>
      <c r="W160" s="30" cm="1">
        <f t="array" ref="W160">_xlfn.XLOOKUP(TRIM(Table5[[#This Row],[ItemName]]), TRIM(Menu_Price_List_tbl[ItemName]),Menu_Price_List_tbl[UnitPrice_NPR])</f>
        <v>260</v>
      </c>
      <c r="X160" s="31">
        <f t="shared" si="8"/>
        <v>520</v>
      </c>
      <c r="Y160" s="30">
        <f>_xlfn.XLOOKUP(Table5[[#This Row],[City]],City_Delivery_Fee_tbl[City],City_Delivery_Fee_tbl[BaseDeliveryFee_NPR])</f>
        <v>70</v>
      </c>
      <c r="Z16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78</v>
      </c>
      <c r="AA160" s="31">
        <f>Table5[[#This Row],[Order Amount]]+Table5[[#This Row],[Delivery Fee]]-Table5[[#This Row],[Discount Amount]]</f>
        <v>512</v>
      </c>
      <c r="AB160" s="30" t="str">
        <f>_xlfn.XLOOKUP(Table5[[#This Row],[RiderID]], Rider_Directory!$F$2:$F$26, Rider_Directory!$B$2:$B$26)</f>
        <v>Pokhara</v>
      </c>
      <c r="AC160" s="30" t="str" cm="1">
        <f t="array" ref="AC160">_xlfn.IFS(Table5[[#This Row],[Final Amount]]&lt;500, "Small", Table5[[#This Row],[Final Amount]]&lt;=1000, "Medium", Table5[[#This Row],[Final Amount]]&gt;1000, "Large")</f>
        <v>Medium</v>
      </c>
      <c r="AD160" s="30" t="str">
        <f>_xlfn.LET(_xlpm.expiry,_xlfn.XLOOKUP(Table5[[#This Row],[PromoCode]],Promo_Codes!$A$2:$A$9,Promo_Codes!$F$2:$F$9,DATE(2099,1,1)),IF(Table5[[#This Row],[OrderDate]]&gt;_xlpm.expiry,"Expired Code Used","Valid"))</f>
        <v>Valid</v>
      </c>
    </row>
    <row r="161" spans="1:30" x14ac:dyDescent="0.3">
      <c r="A161" s="28" t="s">
        <v>658</v>
      </c>
      <c r="B161" s="27">
        <v>45962</v>
      </c>
      <c r="C161" s="28" t="s">
        <v>672</v>
      </c>
      <c r="D161" s="28" t="s">
        <v>1201</v>
      </c>
      <c r="E161" s="27">
        <v>45947</v>
      </c>
      <c r="F161" s="27" t="str">
        <f t="shared" si="6"/>
        <v>Returning</v>
      </c>
      <c r="G161" s="28" t="s">
        <v>135</v>
      </c>
      <c r="H161" s="28" t="s">
        <v>339</v>
      </c>
      <c r="I161" s="28" t="s">
        <v>233</v>
      </c>
      <c r="J161" s="28" t="s">
        <v>276</v>
      </c>
      <c r="K161" s="29">
        <v>2</v>
      </c>
      <c r="L161" s="28" t="s">
        <v>277</v>
      </c>
      <c r="M161" s="28" t="s">
        <v>159</v>
      </c>
      <c r="N161" s="28"/>
      <c r="O161" s="28" t="s">
        <v>130</v>
      </c>
      <c r="P161" s="28" t="str">
        <f t="shared" si="7"/>
        <v/>
      </c>
      <c r="Q161" s="29">
        <v>4</v>
      </c>
      <c r="R161" s="29">
        <v>20</v>
      </c>
      <c r="S161" s="28" t="s">
        <v>302</v>
      </c>
      <c r="T161" s="30" t="str">
        <f>_xlfn.CONCAT(Table5[[#This Row],[OrderID]]," | ",Table5[[#This Row],[City]]," | ",Table5[[#This Row],[ItemName]])</f>
        <v>ORD-1157 | Kathmandu | Chicken Momo (Steamed)</v>
      </c>
      <c r="U161" s="30" t="str">
        <f>UPPER(Table5[[#This Row],[City]])</f>
        <v>KATHMANDU</v>
      </c>
      <c r="V161" s="30" t="str">
        <f>LOWER(Table5[[#This Row],[PaymentMethod]])</f>
        <v>khalti</v>
      </c>
      <c r="W161" s="30" cm="1">
        <f t="array" ref="W161">_xlfn.XLOOKUP(TRIM(Table5[[#This Row],[ItemName]]), TRIM(Menu_Price_List_tbl[ItemName]),Menu_Price_List_tbl[UnitPrice_NPR])</f>
        <v>190</v>
      </c>
      <c r="X161" s="31">
        <f t="shared" si="8"/>
        <v>380</v>
      </c>
      <c r="Y161" s="30">
        <f>_xlfn.XLOOKUP(Table5[[#This Row],[City]],City_Delivery_Fee_tbl[City],City_Delivery_Fee_tbl[BaseDeliveryFee_NPR])</f>
        <v>50</v>
      </c>
      <c r="Z16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61" s="31">
        <f>Table5[[#This Row],[Order Amount]]+Table5[[#This Row],[Delivery Fee]]-Table5[[#This Row],[Discount Amount]]</f>
        <v>430</v>
      </c>
      <c r="AB161" s="30" t="str">
        <f>_xlfn.XLOOKUP(Table5[[#This Row],[RiderID]], Rider_Directory!$F$2:$F$26, Rider_Directory!$B$2:$B$26)</f>
        <v>Kathmandu</v>
      </c>
      <c r="AC161" s="30" t="str" cm="1">
        <f t="array" ref="AC161">_xlfn.IFS(Table5[[#This Row],[Final Amount]]&lt;500, "Small", Table5[[#This Row],[Final Amount]]&lt;=1000, "Medium", Table5[[#This Row],[Final Amount]]&gt;1000, "Large")</f>
        <v>Small</v>
      </c>
      <c r="AD161" s="30" t="str">
        <f>_xlfn.LET(_xlpm.expiry,_xlfn.XLOOKUP(Table5[[#This Row],[PromoCode]],Promo_Codes!$A$2:$A$9,Promo_Codes!$F$2:$F$9,DATE(2099,1,1)),IF(Table5[[#This Row],[OrderDate]]&gt;_xlpm.expiry,"Expired Code Used","Valid"))</f>
        <v>Valid</v>
      </c>
    </row>
    <row r="162" spans="1:30" x14ac:dyDescent="0.3">
      <c r="A162" s="28" t="s">
        <v>432</v>
      </c>
      <c r="B162" s="27">
        <v>45962</v>
      </c>
      <c r="C162" s="28" t="s">
        <v>433</v>
      </c>
      <c r="D162" s="28" t="s">
        <v>1210</v>
      </c>
      <c r="E162" s="27">
        <v>45961</v>
      </c>
      <c r="F162" s="27" t="str">
        <f t="shared" si="6"/>
        <v>New</v>
      </c>
      <c r="G162" s="28" t="s">
        <v>123</v>
      </c>
      <c r="H162" s="28" t="s">
        <v>171</v>
      </c>
      <c r="I162" s="28" t="s">
        <v>147</v>
      </c>
      <c r="J162" s="28" t="s">
        <v>172</v>
      </c>
      <c r="K162" s="29">
        <v>1</v>
      </c>
      <c r="L162" s="28" t="s">
        <v>127</v>
      </c>
      <c r="M162" s="28" t="s">
        <v>128</v>
      </c>
      <c r="N162" s="28"/>
      <c r="O162" s="28" t="s">
        <v>279</v>
      </c>
      <c r="P162" s="28" t="str">
        <f t="shared" si="7"/>
        <v/>
      </c>
      <c r="Q162" s="28"/>
      <c r="R162" s="29">
        <v>49</v>
      </c>
      <c r="S162" s="28"/>
      <c r="T162" s="30" t="str">
        <f>_xlfn.CONCAT(Table5[[#This Row],[OrderID]]," | ",Table5[[#This Row],[City]]," | ",Table5[[#This Row],[ItemName]])</f>
        <v>ORD-1158 | Biratnagar | Chocolate Pastry</v>
      </c>
      <c r="U162" s="30" t="str">
        <f>UPPER(Table5[[#This Row],[City]])</f>
        <v>BIRATNAGAR</v>
      </c>
      <c r="V162" s="30" t="str">
        <f>LOWER(Table5[[#This Row],[PaymentMethod]])</f>
        <v>esewa</v>
      </c>
      <c r="W162" s="30" cm="1">
        <f t="array" ref="W162">_xlfn.XLOOKUP(TRIM(Table5[[#This Row],[ItemName]]), TRIM(Menu_Price_List_tbl[ItemName]),Menu_Price_List_tbl[UnitPrice_NPR])</f>
        <v>150</v>
      </c>
      <c r="X162" s="31">
        <f t="shared" si="8"/>
        <v>150</v>
      </c>
      <c r="Y162" s="30">
        <f>_xlfn.XLOOKUP(Table5[[#This Row],[City]],City_Delivery_Fee_tbl[City],City_Delivery_Fee_tbl[BaseDeliveryFee_NPR])</f>
        <v>90</v>
      </c>
      <c r="Z16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62" s="31">
        <f>Table5[[#This Row],[Order Amount]]+Table5[[#This Row],[Delivery Fee]]-Table5[[#This Row],[Discount Amount]]</f>
        <v>240</v>
      </c>
      <c r="AB162" s="30" t="str">
        <f>_xlfn.XLOOKUP(Table5[[#This Row],[RiderID]], Rider_Directory!$F$2:$F$26, Rider_Directory!$B$2:$B$26)</f>
        <v>Biratnagar</v>
      </c>
      <c r="AC162" s="30" t="str" cm="1">
        <f t="array" ref="AC162">_xlfn.IFS(Table5[[#This Row],[Final Amount]]&lt;500, "Small", Table5[[#This Row],[Final Amount]]&lt;=1000, "Medium", Table5[[#This Row],[Final Amount]]&gt;1000, "Large")</f>
        <v>Small</v>
      </c>
      <c r="AD162" s="30" t="str">
        <f>_xlfn.LET(_xlpm.expiry,_xlfn.XLOOKUP(Table5[[#This Row],[PromoCode]],Promo_Codes!$A$2:$A$9,Promo_Codes!$F$2:$F$9,DATE(2099,1,1)),IF(Table5[[#This Row],[OrderDate]]&gt;_xlpm.expiry,"Expired Code Used","Valid"))</f>
        <v>Valid</v>
      </c>
    </row>
    <row r="163" spans="1:30" x14ac:dyDescent="0.3">
      <c r="A163" s="28" t="s">
        <v>788</v>
      </c>
      <c r="B163" s="27">
        <v>45962</v>
      </c>
      <c r="C163" s="28" t="s">
        <v>789</v>
      </c>
      <c r="D163" s="28" t="s">
        <v>1198</v>
      </c>
      <c r="E163" s="27">
        <v>45956</v>
      </c>
      <c r="F163" s="27" t="str">
        <f t="shared" si="6"/>
        <v>Returning</v>
      </c>
      <c r="G163" s="28" t="s">
        <v>170</v>
      </c>
      <c r="H163" s="28" t="s">
        <v>163</v>
      </c>
      <c r="I163" s="28" t="s">
        <v>164</v>
      </c>
      <c r="J163" s="28" t="s">
        <v>372</v>
      </c>
      <c r="K163" s="29">
        <v>2</v>
      </c>
      <c r="L163" s="28" t="s">
        <v>158</v>
      </c>
      <c r="M163" s="28" t="s">
        <v>247</v>
      </c>
      <c r="N163" s="28" t="s">
        <v>182</v>
      </c>
      <c r="O163" s="28" t="s">
        <v>130</v>
      </c>
      <c r="P163" s="28" t="str">
        <f t="shared" si="7"/>
        <v/>
      </c>
      <c r="Q163" s="29">
        <v>2</v>
      </c>
      <c r="R163" s="29">
        <v>46</v>
      </c>
      <c r="S163" s="28"/>
      <c r="T163" s="30" t="str">
        <f>_xlfn.CONCAT(Table5[[#This Row],[OrderID]]," | ",Table5[[#This Row],[City]]," | ",Table5[[#This Row],[ItemName]])</f>
        <v>ORD-1159 | Butwal | Black Coffee</v>
      </c>
      <c r="U163" s="30" t="str">
        <f>UPPER(Table5[[#This Row],[City]])</f>
        <v>BUTWAL</v>
      </c>
      <c r="V163" s="30" t="str">
        <f>LOWER(Table5[[#This Row],[PaymentMethod]])</f>
        <v>ime pay</v>
      </c>
      <c r="W163" s="30" cm="1">
        <f t="array" ref="W163">_xlfn.XLOOKUP(TRIM(Table5[[#This Row],[ItemName]]), TRIM(Menu_Price_List_tbl[ItemName]),Menu_Price_List_tbl[UnitPrice_NPR])</f>
        <v>90</v>
      </c>
      <c r="X163" s="31">
        <f t="shared" si="8"/>
        <v>180</v>
      </c>
      <c r="Y163" s="30">
        <f>_xlfn.XLOOKUP(Table5[[#This Row],[City]],City_Delivery_Fee_tbl[City],City_Delivery_Fee_tbl[BaseDeliveryFee_NPR])</f>
        <v>85</v>
      </c>
      <c r="Z16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27</v>
      </c>
      <c r="AA163" s="31">
        <f>Table5[[#This Row],[Order Amount]]+Table5[[#This Row],[Delivery Fee]]-Table5[[#This Row],[Discount Amount]]</f>
        <v>238</v>
      </c>
      <c r="AB163" s="30" t="str">
        <f>_xlfn.XLOOKUP(Table5[[#This Row],[RiderID]], Rider_Directory!$F$2:$F$26, Rider_Directory!$B$2:$B$26)</f>
        <v>Butwal</v>
      </c>
      <c r="AC163" s="30" t="str" cm="1">
        <f t="array" ref="AC163">_xlfn.IFS(Table5[[#This Row],[Final Amount]]&lt;500, "Small", Table5[[#This Row],[Final Amount]]&lt;=1000, "Medium", Table5[[#This Row],[Final Amount]]&gt;1000, "Large")</f>
        <v>Small</v>
      </c>
      <c r="AD163" s="30" t="str">
        <f>_xlfn.LET(_xlpm.expiry,_xlfn.XLOOKUP(Table5[[#This Row],[PromoCode]],Promo_Codes!$A$2:$A$9,Promo_Codes!$F$2:$F$9,DATE(2099,1,1)),IF(Table5[[#This Row],[OrderDate]]&gt;_xlpm.expiry,"Expired Code Used","Valid"))</f>
        <v>Valid</v>
      </c>
    </row>
    <row r="164" spans="1:30" x14ac:dyDescent="0.3">
      <c r="A164" s="28" t="s">
        <v>599</v>
      </c>
      <c r="B164" s="27">
        <v>45963</v>
      </c>
      <c r="C164" s="28" t="s">
        <v>600</v>
      </c>
      <c r="D164" s="28" t="s">
        <v>1232</v>
      </c>
      <c r="E164" s="27">
        <v>45963</v>
      </c>
      <c r="F164" s="27" t="str">
        <f t="shared" si="6"/>
        <v>New</v>
      </c>
      <c r="G164" s="28" t="s">
        <v>123</v>
      </c>
      <c r="H164" s="28" t="s">
        <v>331</v>
      </c>
      <c r="I164" s="28" t="s">
        <v>164</v>
      </c>
      <c r="J164" s="28" t="s">
        <v>517</v>
      </c>
      <c r="K164" s="29">
        <v>2</v>
      </c>
      <c r="L164" s="28" t="s">
        <v>166</v>
      </c>
      <c r="M164" s="28" t="s">
        <v>159</v>
      </c>
      <c r="N164" s="28" t="s">
        <v>182</v>
      </c>
      <c r="O164" s="28" t="s">
        <v>130</v>
      </c>
      <c r="P164" s="28" t="str">
        <f t="shared" si="7"/>
        <v/>
      </c>
      <c r="Q164" s="29">
        <v>5</v>
      </c>
      <c r="R164" s="29">
        <v>36</v>
      </c>
      <c r="S164" s="28" t="s">
        <v>291</v>
      </c>
      <c r="T164" s="30" t="str">
        <f>_xlfn.CONCAT(Table5[[#This Row],[OrderID]]," | ",Table5[[#This Row],[City]]," | ",Table5[[#This Row],[ItemName]])</f>
        <v>ORD-1160 | Biratnagar | Mango Juice</v>
      </c>
      <c r="U164" s="30" t="str">
        <f>UPPER(Table5[[#This Row],[City]])</f>
        <v>BIRATNAGAR</v>
      </c>
      <c r="V164" s="30" t="str">
        <f>LOWER(Table5[[#This Row],[PaymentMethod]])</f>
        <v>khalti</v>
      </c>
      <c r="W164" s="30" cm="1">
        <f t="array" ref="W164">_xlfn.XLOOKUP(TRIM(Table5[[#This Row],[ItemName]]), TRIM(Menu_Price_List_tbl[ItemName]),Menu_Price_List_tbl[UnitPrice_NPR])</f>
        <v>120</v>
      </c>
      <c r="X164" s="31">
        <f t="shared" si="8"/>
        <v>240</v>
      </c>
      <c r="Y164" s="30">
        <f>_xlfn.XLOOKUP(Table5[[#This Row],[City]],City_Delivery_Fee_tbl[City],City_Delivery_Fee_tbl[BaseDeliveryFee_NPR])</f>
        <v>90</v>
      </c>
      <c r="Z16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36</v>
      </c>
      <c r="AA164" s="31">
        <f>Table5[[#This Row],[Order Amount]]+Table5[[#This Row],[Delivery Fee]]-Table5[[#This Row],[Discount Amount]]</f>
        <v>294</v>
      </c>
      <c r="AB164" s="30" t="str">
        <f>_xlfn.XLOOKUP(Table5[[#This Row],[RiderID]], Rider_Directory!$F$2:$F$26, Rider_Directory!$B$2:$B$26)</f>
        <v>Biratnagar</v>
      </c>
      <c r="AC164" s="30" t="str" cm="1">
        <f t="array" ref="AC164">_xlfn.IFS(Table5[[#This Row],[Final Amount]]&lt;500, "Small", Table5[[#This Row],[Final Amount]]&lt;=1000, "Medium", Table5[[#This Row],[Final Amount]]&gt;1000, "Large")</f>
        <v>Small</v>
      </c>
      <c r="AD164" s="30" t="str">
        <f>_xlfn.LET(_xlpm.expiry,_xlfn.XLOOKUP(Table5[[#This Row],[PromoCode]],Promo_Codes!$A$2:$A$9,Promo_Codes!$F$2:$F$9,DATE(2099,1,1)),IF(Table5[[#This Row],[OrderDate]]&gt;_xlpm.expiry,"Expired Code Used","Valid"))</f>
        <v>Valid</v>
      </c>
    </row>
    <row r="165" spans="1:30" x14ac:dyDescent="0.3">
      <c r="A165" s="28" t="s">
        <v>977</v>
      </c>
      <c r="B165" s="27">
        <v>45963</v>
      </c>
      <c r="C165" s="28" t="s">
        <v>487</v>
      </c>
      <c r="D165" s="28" t="s">
        <v>1184</v>
      </c>
      <c r="E165" s="27">
        <v>45918</v>
      </c>
      <c r="F165" s="27" t="str">
        <f t="shared" si="6"/>
        <v>Returning</v>
      </c>
      <c r="G165" s="28" t="s">
        <v>123</v>
      </c>
      <c r="H165" s="28" t="s">
        <v>350</v>
      </c>
      <c r="I165" s="28" t="s">
        <v>351</v>
      </c>
      <c r="J165" s="28" t="s">
        <v>352</v>
      </c>
      <c r="K165" s="29">
        <v>1</v>
      </c>
      <c r="L165" s="28" t="s">
        <v>127</v>
      </c>
      <c r="M165" s="28" t="s">
        <v>159</v>
      </c>
      <c r="N165" s="28"/>
      <c r="O165" s="28" t="s">
        <v>130</v>
      </c>
      <c r="P165" s="28" t="str">
        <f t="shared" si="7"/>
        <v/>
      </c>
      <c r="Q165" s="29">
        <v>5</v>
      </c>
      <c r="R165" s="29">
        <v>44</v>
      </c>
      <c r="S165" s="28" t="s">
        <v>131</v>
      </c>
      <c r="T165" s="30" t="str">
        <f>_xlfn.CONCAT(Table5[[#This Row],[OrderID]]," | ",Table5[[#This Row],[City]]," | ",Table5[[#This Row],[ItemName]])</f>
        <v>ORD-1161 | Biratnagar | Buff Sekuwa</v>
      </c>
      <c r="U165" s="30" t="str">
        <f>UPPER(Table5[[#This Row],[City]])</f>
        <v>BIRATNAGAR</v>
      </c>
      <c r="V165" s="30" t="str">
        <f>LOWER(Table5[[#This Row],[PaymentMethod]])</f>
        <v>khalti</v>
      </c>
      <c r="W165" s="30" cm="1">
        <f t="array" ref="W165">_xlfn.XLOOKUP(TRIM(Table5[[#This Row],[ItemName]]), TRIM(Menu_Price_List_tbl[ItemName]),Menu_Price_List_tbl[UnitPrice_NPR])</f>
        <v>380</v>
      </c>
      <c r="X165" s="31">
        <f t="shared" si="8"/>
        <v>380</v>
      </c>
      <c r="Y165" s="30">
        <f>_xlfn.XLOOKUP(Table5[[#This Row],[City]],City_Delivery_Fee_tbl[City],City_Delivery_Fee_tbl[BaseDeliveryFee_NPR])</f>
        <v>90</v>
      </c>
      <c r="Z16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65" s="31">
        <f>Table5[[#This Row],[Order Amount]]+Table5[[#This Row],[Delivery Fee]]-Table5[[#This Row],[Discount Amount]]</f>
        <v>470</v>
      </c>
      <c r="AB165" s="30" t="str">
        <f>_xlfn.XLOOKUP(Table5[[#This Row],[RiderID]], Rider_Directory!$F$2:$F$26, Rider_Directory!$B$2:$B$26)</f>
        <v>Biratnagar</v>
      </c>
      <c r="AC165" s="30" t="str" cm="1">
        <f t="array" ref="AC165">_xlfn.IFS(Table5[[#This Row],[Final Amount]]&lt;500, "Small", Table5[[#This Row],[Final Amount]]&lt;=1000, "Medium", Table5[[#This Row],[Final Amount]]&gt;1000, "Large")</f>
        <v>Small</v>
      </c>
      <c r="AD165" s="30" t="str">
        <f>_xlfn.LET(_xlpm.expiry,_xlfn.XLOOKUP(Table5[[#This Row],[PromoCode]],Promo_Codes!$A$2:$A$9,Promo_Codes!$F$2:$F$9,DATE(2099,1,1)),IF(Table5[[#This Row],[OrderDate]]&gt;_xlpm.expiry,"Expired Code Used","Valid"))</f>
        <v>Valid</v>
      </c>
    </row>
    <row r="166" spans="1:30" x14ac:dyDescent="0.3">
      <c r="A166" s="28" t="s">
        <v>905</v>
      </c>
      <c r="B166" s="27">
        <v>45964</v>
      </c>
      <c r="C166" s="28" t="s">
        <v>1050</v>
      </c>
      <c r="D166" s="28" t="s">
        <v>1276</v>
      </c>
      <c r="E166" s="27">
        <v>45962</v>
      </c>
      <c r="F166" s="27" t="str">
        <f t="shared" si="6"/>
        <v>New</v>
      </c>
      <c r="G166" s="28" t="s">
        <v>135</v>
      </c>
      <c r="H166" s="28" t="s">
        <v>171</v>
      </c>
      <c r="I166" s="28" t="s">
        <v>147</v>
      </c>
      <c r="J166" s="28" t="s">
        <v>172</v>
      </c>
      <c r="K166" s="29">
        <v>1</v>
      </c>
      <c r="L166" s="28" t="s">
        <v>277</v>
      </c>
      <c r="M166" s="28" t="s">
        <v>247</v>
      </c>
      <c r="N166" s="28" t="s">
        <v>182</v>
      </c>
      <c r="O166" s="28" t="s">
        <v>130</v>
      </c>
      <c r="P166" s="28" t="str">
        <f t="shared" si="7"/>
        <v/>
      </c>
      <c r="Q166" s="29">
        <v>5</v>
      </c>
      <c r="R166" s="29">
        <v>21</v>
      </c>
      <c r="S166" s="28"/>
      <c r="T166" s="30" t="str">
        <f>_xlfn.CONCAT(Table5[[#This Row],[OrderID]]," | ",Table5[[#This Row],[City]]," | ",Table5[[#This Row],[ItemName]])</f>
        <v>ORD-1162 | Kathmandu | Chocolate Pastry</v>
      </c>
      <c r="U166" s="30" t="str">
        <f>UPPER(Table5[[#This Row],[City]])</f>
        <v>KATHMANDU</v>
      </c>
      <c r="V166" s="30" t="str">
        <f>LOWER(Table5[[#This Row],[PaymentMethod]])</f>
        <v>ime pay</v>
      </c>
      <c r="W166" s="30" cm="1">
        <f t="array" ref="W166">_xlfn.XLOOKUP(TRIM(Table5[[#This Row],[ItemName]]), TRIM(Menu_Price_List_tbl[ItemName]),Menu_Price_List_tbl[UnitPrice_NPR])</f>
        <v>150</v>
      </c>
      <c r="X166" s="31">
        <f t="shared" si="8"/>
        <v>150</v>
      </c>
      <c r="Y166" s="30">
        <f>_xlfn.XLOOKUP(Table5[[#This Row],[City]],City_Delivery_Fee_tbl[City],City_Delivery_Fee_tbl[BaseDeliveryFee_NPR])</f>
        <v>50</v>
      </c>
      <c r="Z16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22.5</v>
      </c>
      <c r="AA166" s="31">
        <f>Table5[[#This Row],[Order Amount]]+Table5[[#This Row],[Delivery Fee]]-Table5[[#This Row],[Discount Amount]]</f>
        <v>177.5</v>
      </c>
      <c r="AB166" s="30" t="str">
        <f>_xlfn.XLOOKUP(Table5[[#This Row],[RiderID]], Rider_Directory!$F$2:$F$26, Rider_Directory!$B$2:$B$26)</f>
        <v>Kathmandu</v>
      </c>
      <c r="AC166" s="30" t="str" cm="1">
        <f t="array" ref="AC166">_xlfn.IFS(Table5[[#This Row],[Final Amount]]&lt;500, "Small", Table5[[#This Row],[Final Amount]]&lt;=1000, "Medium", Table5[[#This Row],[Final Amount]]&gt;1000, "Large")</f>
        <v>Small</v>
      </c>
      <c r="AD166" s="30" t="str">
        <f>_xlfn.LET(_xlpm.expiry,_xlfn.XLOOKUP(Table5[[#This Row],[PromoCode]],Promo_Codes!$A$2:$A$9,Promo_Codes!$F$2:$F$9,DATE(2099,1,1)),IF(Table5[[#This Row],[OrderDate]]&gt;_xlpm.expiry,"Expired Code Used","Valid"))</f>
        <v>Valid</v>
      </c>
    </row>
    <row r="167" spans="1:30" x14ac:dyDescent="0.3">
      <c r="A167" s="28" t="s">
        <v>925</v>
      </c>
      <c r="B167" s="27">
        <v>45964</v>
      </c>
      <c r="C167" s="28" t="s">
        <v>682</v>
      </c>
      <c r="D167" s="28" t="s">
        <v>1249</v>
      </c>
      <c r="E167" s="27">
        <v>45949</v>
      </c>
      <c r="F167" s="27" t="str">
        <f t="shared" si="6"/>
        <v>Returning</v>
      </c>
      <c r="G167" s="28" t="s">
        <v>206</v>
      </c>
      <c r="H167" s="28" t="s">
        <v>245</v>
      </c>
      <c r="I167" s="28" t="s">
        <v>233</v>
      </c>
      <c r="J167" s="28" t="s">
        <v>363</v>
      </c>
      <c r="K167" s="29">
        <v>1</v>
      </c>
      <c r="L167" s="28" t="s">
        <v>208</v>
      </c>
      <c r="M167" s="28" t="s">
        <v>140</v>
      </c>
      <c r="N167" s="28" t="s">
        <v>182</v>
      </c>
      <c r="O167" s="28" t="s">
        <v>130</v>
      </c>
      <c r="P167" s="28" t="str">
        <f t="shared" si="7"/>
        <v/>
      </c>
      <c r="Q167" s="29">
        <v>5</v>
      </c>
      <c r="R167" s="29">
        <v>26</v>
      </c>
      <c r="S167" s="28"/>
      <c r="T167" s="30" t="str">
        <f>_xlfn.CONCAT(Table5[[#This Row],[OrderID]]," | ",Table5[[#This Row],[City]]," | ",Table5[[#This Row],[ItemName]])</f>
        <v>ORD-1163 | Pokhara | Jhol Momo</v>
      </c>
      <c r="U167" s="30" t="str">
        <f>UPPER(Table5[[#This Row],[City]])</f>
        <v>POKHARA</v>
      </c>
      <c r="V167" s="30" t="str">
        <f>LOWER(Table5[[#This Row],[PaymentMethod]])</f>
        <v>cash on delivery</v>
      </c>
      <c r="W167" s="30" cm="1">
        <f t="array" ref="W167">_xlfn.XLOOKUP(TRIM(Table5[[#This Row],[ItemName]]), TRIM(Menu_Price_List_tbl[ItemName]),Menu_Price_List_tbl[UnitPrice_NPR])</f>
        <v>200</v>
      </c>
      <c r="X167" s="31">
        <f t="shared" si="8"/>
        <v>200</v>
      </c>
      <c r="Y167" s="30">
        <f>_xlfn.XLOOKUP(Table5[[#This Row],[City]],City_Delivery_Fee_tbl[City],City_Delivery_Fee_tbl[BaseDeliveryFee_NPR])</f>
        <v>70</v>
      </c>
      <c r="Z16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30</v>
      </c>
      <c r="AA167" s="31">
        <f>Table5[[#This Row],[Order Amount]]+Table5[[#This Row],[Delivery Fee]]-Table5[[#This Row],[Discount Amount]]</f>
        <v>240</v>
      </c>
      <c r="AB167" s="30" t="str">
        <f>_xlfn.XLOOKUP(Table5[[#This Row],[RiderID]], Rider_Directory!$F$2:$F$26, Rider_Directory!$B$2:$B$26)</f>
        <v>Pokhara</v>
      </c>
      <c r="AC167" s="30" t="str" cm="1">
        <f t="array" ref="AC167">_xlfn.IFS(Table5[[#This Row],[Final Amount]]&lt;500, "Small", Table5[[#This Row],[Final Amount]]&lt;=1000, "Medium", Table5[[#This Row],[Final Amount]]&gt;1000, "Large")</f>
        <v>Small</v>
      </c>
      <c r="AD167" s="30" t="str">
        <f>_xlfn.LET(_xlpm.expiry,_xlfn.XLOOKUP(Table5[[#This Row],[PromoCode]],Promo_Codes!$A$2:$A$9,Promo_Codes!$F$2:$F$9,DATE(2099,1,1)),IF(Table5[[#This Row],[OrderDate]]&gt;_xlpm.expiry,"Expired Code Used","Valid"))</f>
        <v>Valid</v>
      </c>
    </row>
    <row r="168" spans="1:30" x14ac:dyDescent="0.3">
      <c r="A168" s="28" t="s">
        <v>815</v>
      </c>
      <c r="B168" s="27">
        <v>45964</v>
      </c>
      <c r="C168" s="28" t="s">
        <v>377</v>
      </c>
      <c r="D168" s="28" t="s">
        <v>1197</v>
      </c>
      <c r="E168" s="27">
        <v>45962</v>
      </c>
      <c r="F168" s="27" t="str">
        <f t="shared" si="6"/>
        <v>New</v>
      </c>
      <c r="G168" s="28" t="s">
        <v>145</v>
      </c>
      <c r="H168" s="28" t="s">
        <v>288</v>
      </c>
      <c r="I168" s="28" t="s">
        <v>156</v>
      </c>
      <c r="J168" s="28" t="s">
        <v>317</v>
      </c>
      <c r="K168" s="29">
        <v>4</v>
      </c>
      <c r="L168" s="28" t="s">
        <v>307</v>
      </c>
      <c r="M168" s="28" t="s">
        <v>159</v>
      </c>
      <c r="N168" s="28" t="s">
        <v>182</v>
      </c>
      <c r="O168" s="28" t="s">
        <v>279</v>
      </c>
      <c r="P168" s="28" t="str">
        <f t="shared" si="7"/>
        <v/>
      </c>
      <c r="Q168" s="28"/>
      <c r="R168" s="29">
        <v>46</v>
      </c>
      <c r="S168" s="28" t="s">
        <v>359</v>
      </c>
      <c r="T168" s="30" t="str">
        <f>_xlfn.CONCAT(Table5[[#This Row],[OrderID]]," | ",Table5[[#This Row],[City]]," | ",Table5[[#This Row],[ItemName]])</f>
        <v>ORD-1164 | Chitwan | Chicken Fried Rice</v>
      </c>
      <c r="U168" s="30" t="str">
        <f>UPPER(Table5[[#This Row],[City]])</f>
        <v>CHITWAN</v>
      </c>
      <c r="V168" s="30" t="str">
        <f>LOWER(Table5[[#This Row],[PaymentMethod]])</f>
        <v>khalti</v>
      </c>
      <c r="W168" s="30" cm="1">
        <f t="array" ref="W168">_xlfn.XLOOKUP(TRIM(Table5[[#This Row],[ItemName]]), TRIM(Menu_Price_List_tbl[ItemName]),Menu_Price_List_tbl[UnitPrice_NPR])</f>
        <v>260</v>
      </c>
      <c r="X168" s="31">
        <f t="shared" si="8"/>
        <v>1040</v>
      </c>
      <c r="Y168" s="30">
        <f>_xlfn.XLOOKUP(Table5[[#This Row],[City]],City_Delivery_Fee_tbl[City],City_Delivery_Fee_tbl[BaseDeliveryFee_NPR])</f>
        <v>80</v>
      </c>
      <c r="Z16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156</v>
      </c>
      <c r="AA168" s="31">
        <f>Table5[[#This Row],[Order Amount]]+Table5[[#This Row],[Delivery Fee]]-Table5[[#This Row],[Discount Amount]]</f>
        <v>964</v>
      </c>
      <c r="AB168" s="30" t="str">
        <f>_xlfn.XLOOKUP(Table5[[#This Row],[RiderID]], Rider_Directory!$F$2:$F$26, Rider_Directory!$B$2:$B$26)</f>
        <v>Chitwan</v>
      </c>
      <c r="AC168" s="30" t="str" cm="1">
        <f t="array" ref="AC168">_xlfn.IFS(Table5[[#This Row],[Final Amount]]&lt;500, "Small", Table5[[#This Row],[Final Amount]]&lt;=1000, "Medium", Table5[[#This Row],[Final Amount]]&gt;1000, "Large")</f>
        <v>Medium</v>
      </c>
      <c r="AD168" s="30" t="str">
        <f>_xlfn.LET(_xlpm.expiry,_xlfn.XLOOKUP(Table5[[#This Row],[PromoCode]],Promo_Codes!$A$2:$A$9,Promo_Codes!$F$2:$F$9,DATE(2099,1,1)),IF(Table5[[#This Row],[OrderDate]]&gt;_xlpm.expiry,"Expired Code Used","Valid"))</f>
        <v>Valid</v>
      </c>
    </row>
    <row r="169" spans="1:30" x14ac:dyDescent="0.3">
      <c r="A169" s="28" t="s">
        <v>856</v>
      </c>
      <c r="B169" s="27">
        <v>45964</v>
      </c>
      <c r="C169" s="28" t="s">
        <v>857</v>
      </c>
      <c r="D169" s="28" t="s">
        <v>1273</v>
      </c>
      <c r="E169" s="27">
        <v>45963</v>
      </c>
      <c r="F169" s="27" t="str">
        <f t="shared" si="6"/>
        <v>New</v>
      </c>
      <c r="G169" s="28" t="s">
        <v>123</v>
      </c>
      <c r="H169" s="28" t="s">
        <v>288</v>
      </c>
      <c r="I169" s="28" t="s">
        <v>156</v>
      </c>
      <c r="J169" s="28" t="s">
        <v>317</v>
      </c>
      <c r="K169" s="29">
        <v>2</v>
      </c>
      <c r="L169" s="28" t="s">
        <v>127</v>
      </c>
      <c r="M169" s="28" t="s">
        <v>278</v>
      </c>
      <c r="N169" s="28"/>
      <c r="O169" s="28" t="s">
        <v>279</v>
      </c>
      <c r="P169" s="28" t="str">
        <f t="shared" si="7"/>
        <v/>
      </c>
      <c r="Q169" s="28"/>
      <c r="R169" s="29">
        <v>36</v>
      </c>
      <c r="S169" s="28"/>
      <c r="T169" s="30" t="str">
        <f>_xlfn.CONCAT(Table5[[#This Row],[OrderID]]," | ",Table5[[#This Row],[City]]," | ",Table5[[#This Row],[ItemName]])</f>
        <v>ORD-1165 | Biratnagar | Chicken Fried Rice</v>
      </c>
      <c r="U169" s="30" t="str">
        <f>UPPER(Table5[[#This Row],[City]])</f>
        <v>BIRATNAGAR</v>
      </c>
      <c r="V169" s="30" t="str">
        <f>LOWER(Table5[[#This Row],[PaymentMethod]])</f>
        <v>connectips</v>
      </c>
      <c r="W169" s="30" cm="1">
        <f t="array" ref="W169">_xlfn.XLOOKUP(TRIM(Table5[[#This Row],[ItemName]]), TRIM(Menu_Price_List_tbl[ItemName]),Menu_Price_List_tbl[UnitPrice_NPR])</f>
        <v>260</v>
      </c>
      <c r="X169" s="31">
        <f t="shared" si="8"/>
        <v>520</v>
      </c>
      <c r="Y169" s="30">
        <f>_xlfn.XLOOKUP(Table5[[#This Row],[City]],City_Delivery_Fee_tbl[City],City_Delivery_Fee_tbl[BaseDeliveryFee_NPR])</f>
        <v>90</v>
      </c>
      <c r="Z16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69" s="31">
        <f>Table5[[#This Row],[Order Amount]]+Table5[[#This Row],[Delivery Fee]]-Table5[[#This Row],[Discount Amount]]</f>
        <v>610</v>
      </c>
      <c r="AB169" s="30" t="str">
        <f>_xlfn.XLOOKUP(Table5[[#This Row],[RiderID]], Rider_Directory!$F$2:$F$26, Rider_Directory!$B$2:$B$26)</f>
        <v>Biratnagar</v>
      </c>
      <c r="AC169" s="30" t="str" cm="1">
        <f t="array" ref="AC169">_xlfn.IFS(Table5[[#This Row],[Final Amount]]&lt;500, "Small", Table5[[#This Row],[Final Amount]]&lt;=1000, "Medium", Table5[[#This Row],[Final Amount]]&gt;1000, "Large")</f>
        <v>Medium</v>
      </c>
      <c r="AD169" s="30" t="str">
        <f>_xlfn.LET(_xlpm.expiry,_xlfn.XLOOKUP(Table5[[#This Row],[PromoCode]],Promo_Codes!$A$2:$A$9,Promo_Codes!$F$2:$F$9,DATE(2099,1,1)),IF(Table5[[#This Row],[OrderDate]]&gt;_xlpm.expiry,"Expired Code Used","Valid"))</f>
        <v>Valid</v>
      </c>
    </row>
    <row r="170" spans="1:30" x14ac:dyDescent="0.3">
      <c r="A170" s="28" t="s">
        <v>360</v>
      </c>
      <c r="B170" s="27">
        <v>45964</v>
      </c>
      <c r="C170" s="28" t="s">
        <v>361</v>
      </c>
      <c r="D170" s="28" t="s">
        <v>1195</v>
      </c>
      <c r="E170" s="27">
        <v>45963</v>
      </c>
      <c r="F170" s="27" t="str">
        <f t="shared" si="6"/>
        <v>New</v>
      </c>
      <c r="G170" s="28" t="s">
        <v>198</v>
      </c>
      <c r="H170" s="28" t="s">
        <v>245</v>
      </c>
      <c r="I170" s="28" t="s">
        <v>233</v>
      </c>
      <c r="J170" s="28" t="s">
        <v>363</v>
      </c>
      <c r="K170" s="29">
        <v>3</v>
      </c>
      <c r="L170" s="28" t="s">
        <v>201</v>
      </c>
      <c r="M170" s="28" t="s">
        <v>159</v>
      </c>
      <c r="N170" s="28" t="s">
        <v>182</v>
      </c>
      <c r="O170" s="28" t="s">
        <v>130</v>
      </c>
      <c r="P170" s="28" t="str">
        <f t="shared" si="7"/>
        <v/>
      </c>
      <c r="Q170" s="29">
        <v>4</v>
      </c>
      <c r="R170" s="29">
        <v>27</v>
      </c>
      <c r="S170" s="28" t="s">
        <v>364</v>
      </c>
      <c r="T170" s="30" t="str">
        <f>_xlfn.CONCAT(Table5[[#This Row],[OrderID]]," | ",Table5[[#This Row],[City]]," | ",Table5[[#This Row],[ItemName]])</f>
        <v>ORD-1166 | Lalitpur | Jhol Momo</v>
      </c>
      <c r="U170" s="30" t="str">
        <f>UPPER(Table5[[#This Row],[City]])</f>
        <v>LALITPUR</v>
      </c>
      <c r="V170" s="30" t="str">
        <f>LOWER(Table5[[#This Row],[PaymentMethod]])</f>
        <v>khalti</v>
      </c>
      <c r="W170" s="30" cm="1">
        <f t="array" ref="W170">_xlfn.XLOOKUP(TRIM(Table5[[#This Row],[ItemName]]), TRIM(Menu_Price_List_tbl[ItemName]),Menu_Price_List_tbl[UnitPrice_NPR])</f>
        <v>200</v>
      </c>
      <c r="X170" s="31">
        <f t="shared" si="8"/>
        <v>600</v>
      </c>
      <c r="Y170" s="30">
        <f>_xlfn.XLOOKUP(Table5[[#This Row],[City]],City_Delivery_Fee_tbl[City],City_Delivery_Fee_tbl[BaseDeliveryFee_NPR])</f>
        <v>50</v>
      </c>
      <c r="Z17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90</v>
      </c>
      <c r="AA170" s="31">
        <f>Table5[[#This Row],[Order Amount]]+Table5[[#This Row],[Delivery Fee]]-Table5[[#This Row],[Discount Amount]]</f>
        <v>560</v>
      </c>
      <c r="AB170" s="30" t="str">
        <f>_xlfn.XLOOKUP(Table5[[#This Row],[RiderID]], Rider_Directory!$F$2:$F$26, Rider_Directory!$B$2:$B$26)</f>
        <v>Lalitpur</v>
      </c>
      <c r="AC170" s="30" t="str" cm="1">
        <f t="array" ref="AC170">_xlfn.IFS(Table5[[#This Row],[Final Amount]]&lt;500, "Small", Table5[[#This Row],[Final Amount]]&lt;=1000, "Medium", Table5[[#This Row],[Final Amount]]&gt;1000, "Large")</f>
        <v>Medium</v>
      </c>
      <c r="AD170" s="30" t="str">
        <f>_xlfn.LET(_xlpm.expiry,_xlfn.XLOOKUP(Table5[[#This Row],[PromoCode]],Promo_Codes!$A$2:$A$9,Promo_Codes!$F$2:$F$9,DATE(2099,1,1)),IF(Table5[[#This Row],[OrderDate]]&gt;_xlpm.expiry,"Expired Code Used","Valid"))</f>
        <v>Valid</v>
      </c>
    </row>
    <row r="171" spans="1:30" x14ac:dyDescent="0.3">
      <c r="A171" s="28" t="s">
        <v>167</v>
      </c>
      <c r="B171" s="27">
        <v>45964</v>
      </c>
      <c r="C171" s="28" t="s">
        <v>168</v>
      </c>
      <c r="D171" s="28" t="s">
        <v>1164</v>
      </c>
      <c r="E171" s="27">
        <v>45963</v>
      </c>
      <c r="F171" s="27" t="str">
        <f t="shared" si="6"/>
        <v>New</v>
      </c>
      <c r="G171" s="28" t="s">
        <v>170</v>
      </c>
      <c r="H171" s="28" t="s">
        <v>171</v>
      </c>
      <c r="I171" s="28" t="s">
        <v>147</v>
      </c>
      <c r="J171" s="28" t="s">
        <v>172</v>
      </c>
      <c r="K171" s="29">
        <v>1</v>
      </c>
      <c r="L171" s="28" t="s">
        <v>173</v>
      </c>
      <c r="M171" s="28" t="s">
        <v>128</v>
      </c>
      <c r="N171" s="28"/>
      <c r="O171" s="28" t="s">
        <v>130</v>
      </c>
      <c r="P171" s="28" t="str">
        <f t="shared" si="7"/>
        <v/>
      </c>
      <c r="Q171" s="29">
        <v>3</v>
      </c>
      <c r="R171" s="29">
        <v>36</v>
      </c>
      <c r="S171" s="28"/>
      <c r="T171" s="30" t="str">
        <f>_xlfn.CONCAT(Table5[[#This Row],[OrderID]]," | ",Table5[[#This Row],[City]]," | ",Table5[[#This Row],[ItemName]])</f>
        <v>ORD-1167 | Butwal | Chocolate Pastry</v>
      </c>
      <c r="U171" s="30" t="str">
        <f>UPPER(Table5[[#This Row],[City]])</f>
        <v>BUTWAL</v>
      </c>
      <c r="V171" s="30" t="str">
        <f>LOWER(Table5[[#This Row],[PaymentMethod]])</f>
        <v>esewa</v>
      </c>
      <c r="W171" s="30" cm="1">
        <f t="array" ref="W171">_xlfn.XLOOKUP(TRIM(Table5[[#This Row],[ItemName]]), TRIM(Menu_Price_List_tbl[ItemName]),Menu_Price_List_tbl[UnitPrice_NPR])</f>
        <v>150</v>
      </c>
      <c r="X171" s="31">
        <f t="shared" si="8"/>
        <v>150</v>
      </c>
      <c r="Y171" s="30">
        <f>_xlfn.XLOOKUP(Table5[[#This Row],[City]],City_Delivery_Fee_tbl[City],City_Delivery_Fee_tbl[BaseDeliveryFee_NPR])</f>
        <v>85</v>
      </c>
      <c r="Z17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71" s="31">
        <f>Table5[[#This Row],[Order Amount]]+Table5[[#This Row],[Delivery Fee]]-Table5[[#This Row],[Discount Amount]]</f>
        <v>235</v>
      </c>
      <c r="AB171" s="30" t="str">
        <f>_xlfn.XLOOKUP(Table5[[#This Row],[RiderID]], Rider_Directory!$F$2:$F$26, Rider_Directory!$B$2:$B$26)</f>
        <v>Butwal</v>
      </c>
      <c r="AC171" s="30" t="str" cm="1">
        <f t="array" ref="AC171">_xlfn.IFS(Table5[[#This Row],[Final Amount]]&lt;500, "Small", Table5[[#This Row],[Final Amount]]&lt;=1000, "Medium", Table5[[#This Row],[Final Amount]]&gt;1000, "Large")</f>
        <v>Small</v>
      </c>
      <c r="AD171" s="30" t="str">
        <f>_xlfn.LET(_xlpm.expiry,_xlfn.XLOOKUP(Table5[[#This Row],[PromoCode]],Promo_Codes!$A$2:$A$9,Promo_Codes!$F$2:$F$9,DATE(2099,1,1)),IF(Table5[[#This Row],[OrderDate]]&gt;_xlpm.expiry,"Expired Code Used","Valid"))</f>
        <v>Valid</v>
      </c>
    </row>
    <row r="172" spans="1:30" x14ac:dyDescent="0.3">
      <c r="A172" s="28" t="s">
        <v>735</v>
      </c>
      <c r="B172" s="27">
        <v>45965</v>
      </c>
      <c r="C172" s="28" t="s">
        <v>1131</v>
      </c>
      <c r="D172" s="28" t="s">
        <v>1242</v>
      </c>
      <c r="E172" s="27">
        <v>45956</v>
      </c>
      <c r="F172" s="27" t="str">
        <f t="shared" si="6"/>
        <v>Returning</v>
      </c>
      <c r="G172" s="28" t="s">
        <v>123</v>
      </c>
      <c r="H172" s="28" t="s">
        <v>171</v>
      </c>
      <c r="I172" s="28" t="s">
        <v>147</v>
      </c>
      <c r="J172" s="28" t="s">
        <v>559</v>
      </c>
      <c r="K172" s="29">
        <v>1</v>
      </c>
      <c r="L172" s="28" t="s">
        <v>127</v>
      </c>
      <c r="M172" s="28" t="s">
        <v>159</v>
      </c>
      <c r="N172" s="28"/>
      <c r="O172" s="28" t="s">
        <v>279</v>
      </c>
      <c r="P172" s="28" t="str">
        <f t="shared" si="7"/>
        <v/>
      </c>
      <c r="Q172" s="28"/>
      <c r="R172" s="29">
        <v>36</v>
      </c>
      <c r="S172" s="28" t="s">
        <v>280</v>
      </c>
      <c r="T172" s="30" t="str">
        <f>_xlfn.CONCAT(Table5[[#This Row],[OrderID]]," | ",Table5[[#This Row],[City]]," | ",Table5[[#This Row],[ItemName]])</f>
        <v>ORD-1168 | Biratnagar | Laddu (5 pcs)</v>
      </c>
      <c r="U172" s="30" t="str">
        <f>UPPER(Table5[[#This Row],[City]])</f>
        <v>BIRATNAGAR</v>
      </c>
      <c r="V172" s="30" t="str">
        <f>LOWER(Table5[[#This Row],[PaymentMethod]])</f>
        <v>khalti</v>
      </c>
      <c r="W172" s="30" cm="1">
        <f t="array" ref="W172">_xlfn.XLOOKUP(TRIM(Table5[[#This Row],[ItemName]]), TRIM(Menu_Price_List_tbl[ItemName]),Menu_Price_List_tbl[UnitPrice_NPR])</f>
        <v>180</v>
      </c>
      <c r="X172" s="31">
        <f t="shared" si="8"/>
        <v>180</v>
      </c>
      <c r="Y172" s="30">
        <f>_xlfn.XLOOKUP(Table5[[#This Row],[City]],City_Delivery_Fee_tbl[City],City_Delivery_Fee_tbl[BaseDeliveryFee_NPR])</f>
        <v>90</v>
      </c>
      <c r="Z17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72" s="31">
        <f>Table5[[#This Row],[Order Amount]]+Table5[[#This Row],[Delivery Fee]]-Table5[[#This Row],[Discount Amount]]</f>
        <v>270</v>
      </c>
      <c r="AB172" s="30" t="str">
        <f>_xlfn.XLOOKUP(Table5[[#This Row],[RiderID]], Rider_Directory!$F$2:$F$26, Rider_Directory!$B$2:$B$26)</f>
        <v>Biratnagar</v>
      </c>
      <c r="AC172" s="30" t="str" cm="1">
        <f t="array" ref="AC172">_xlfn.IFS(Table5[[#This Row],[Final Amount]]&lt;500, "Small", Table5[[#This Row],[Final Amount]]&lt;=1000, "Medium", Table5[[#This Row],[Final Amount]]&gt;1000, "Large")</f>
        <v>Small</v>
      </c>
      <c r="AD172" s="30" t="str">
        <f>_xlfn.LET(_xlpm.expiry,_xlfn.XLOOKUP(Table5[[#This Row],[PromoCode]],Promo_Codes!$A$2:$A$9,Promo_Codes!$F$2:$F$9,DATE(2099,1,1)),IF(Table5[[#This Row],[OrderDate]]&gt;_xlpm.expiry,"Expired Code Used","Valid"))</f>
        <v>Valid</v>
      </c>
    </row>
    <row r="173" spans="1:30" x14ac:dyDescent="0.3">
      <c r="A173" s="28" t="s">
        <v>333</v>
      </c>
      <c r="B173" s="27">
        <v>45965</v>
      </c>
      <c r="C173" s="28" t="s">
        <v>338</v>
      </c>
      <c r="D173" s="28" t="s">
        <v>1191</v>
      </c>
      <c r="E173" s="27">
        <v>45964</v>
      </c>
      <c r="F173" s="27" t="str">
        <f t="shared" si="6"/>
        <v>New</v>
      </c>
      <c r="G173" s="28" t="s">
        <v>198</v>
      </c>
      <c r="H173" s="28" t="s">
        <v>192</v>
      </c>
      <c r="I173" s="28" t="s">
        <v>137</v>
      </c>
      <c r="J173" s="28" t="s">
        <v>138</v>
      </c>
      <c r="K173" s="29">
        <v>1</v>
      </c>
      <c r="L173" s="28" t="s">
        <v>213</v>
      </c>
      <c r="M173" s="28" t="s">
        <v>140</v>
      </c>
      <c r="N173" s="28" t="s">
        <v>336</v>
      </c>
      <c r="O173" s="28"/>
      <c r="P173" s="28" t="str">
        <f t="shared" si="7"/>
        <v xml:space="preserve"> NEED REVIEW</v>
      </c>
      <c r="Q173" s="29">
        <v>4</v>
      </c>
      <c r="R173" s="29">
        <v>29</v>
      </c>
      <c r="S173" s="28" t="s">
        <v>302</v>
      </c>
      <c r="T173" s="30" t="str">
        <f>_xlfn.CONCAT(Table5[[#This Row],[OrderID]]," | ",Table5[[#This Row],[City]]," | ",Table5[[#This Row],[ItemName]])</f>
        <v>ORD-1169 | Lalitpur | Chicken Thakali Set</v>
      </c>
      <c r="U173" s="30" t="str">
        <f>UPPER(Table5[[#This Row],[City]])</f>
        <v>LALITPUR</v>
      </c>
      <c r="V173" s="30" t="str">
        <f>LOWER(Table5[[#This Row],[PaymentMethod]])</f>
        <v>cash on delivery</v>
      </c>
      <c r="W173" s="30" cm="1">
        <f t="array" ref="W173">_xlfn.XLOOKUP(TRIM(Table5[[#This Row],[ItemName]]), TRIM(Menu_Price_List_tbl[ItemName]),Menu_Price_List_tbl[UnitPrice_NPR])</f>
        <v>480</v>
      </c>
      <c r="X173" s="31">
        <f t="shared" si="8"/>
        <v>480</v>
      </c>
      <c r="Y173" s="30">
        <f>_xlfn.XLOOKUP(Table5[[#This Row],[City]],City_Delivery_Fee_tbl[City],City_Delivery_Fee_tbl[BaseDeliveryFee_NPR])</f>
        <v>50</v>
      </c>
      <c r="Z17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173" s="31">
        <f>Table5[[#This Row],[Order Amount]]+Table5[[#This Row],[Delivery Fee]]-Table5[[#This Row],[Discount Amount]]</f>
        <v>480</v>
      </c>
      <c r="AB173" s="30" t="str">
        <f>_xlfn.XLOOKUP(Table5[[#This Row],[RiderID]], Rider_Directory!$F$2:$F$26, Rider_Directory!$B$2:$B$26)</f>
        <v>Lalitpur</v>
      </c>
      <c r="AC173" s="30" t="str" cm="1">
        <f t="array" ref="AC173">_xlfn.IFS(Table5[[#This Row],[Final Amount]]&lt;500, "Small", Table5[[#This Row],[Final Amount]]&lt;=1000, "Medium", Table5[[#This Row],[Final Amount]]&gt;1000, "Large")</f>
        <v>Small</v>
      </c>
      <c r="AD173" s="30" t="str">
        <f>_xlfn.LET(_xlpm.expiry,_xlfn.XLOOKUP(Table5[[#This Row],[PromoCode]],Promo_Codes!$A$2:$A$9,Promo_Codes!$F$2:$F$9,DATE(2099,1,1)),IF(Table5[[#This Row],[OrderDate]]&gt;_xlpm.expiry,"Expired Code Used","Valid"))</f>
        <v>Valid</v>
      </c>
    </row>
    <row r="174" spans="1:30" x14ac:dyDescent="0.3">
      <c r="A174" s="28" t="s">
        <v>1019</v>
      </c>
      <c r="B174" s="27">
        <v>45965</v>
      </c>
      <c r="C174" s="28" t="s">
        <v>1154</v>
      </c>
      <c r="D174" s="28" t="s">
        <v>1179</v>
      </c>
      <c r="E174" s="27">
        <v>45873</v>
      </c>
      <c r="F174" s="27" t="str">
        <f t="shared" si="6"/>
        <v>Returning</v>
      </c>
      <c r="G174" s="28" t="s">
        <v>135</v>
      </c>
      <c r="H174" s="28" t="s">
        <v>232</v>
      </c>
      <c r="I174" s="28" t="s">
        <v>233</v>
      </c>
      <c r="J174" s="28" t="s">
        <v>499</v>
      </c>
      <c r="K174" s="29">
        <v>1</v>
      </c>
      <c r="L174" s="28" t="s">
        <v>139</v>
      </c>
      <c r="M174" s="28" t="s">
        <v>140</v>
      </c>
      <c r="N174" s="28"/>
      <c r="O174" s="28" t="s">
        <v>130</v>
      </c>
      <c r="P174" s="28" t="str">
        <f t="shared" si="7"/>
        <v/>
      </c>
      <c r="Q174" s="29">
        <v>4</v>
      </c>
      <c r="R174" s="29">
        <v>29</v>
      </c>
      <c r="S174" s="28"/>
      <c r="T174" s="30" t="str">
        <f>_xlfn.CONCAT(Table5[[#This Row],[OrderID]]," | ",Table5[[#This Row],[City]]," | ",Table5[[#This Row],[ItemName]])</f>
        <v>ORD-1170 | Kathmandu | Chilli Momo</v>
      </c>
      <c r="U174" s="30" t="str">
        <f>UPPER(Table5[[#This Row],[City]])</f>
        <v>KATHMANDU</v>
      </c>
      <c r="V174" s="30" t="str">
        <f>LOWER(Table5[[#This Row],[PaymentMethod]])</f>
        <v>cash on delivery</v>
      </c>
      <c r="W174" s="30" cm="1">
        <f t="array" ref="W174">_xlfn.XLOOKUP(TRIM(Table5[[#This Row],[ItemName]]), TRIM(Menu_Price_List_tbl[ItemName]),Menu_Price_List_tbl[UnitPrice_NPR])</f>
        <v>220</v>
      </c>
      <c r="X174" s="31">
        <f t="shared" si="8"/>
        <v>220</v>
      </c>
      <c r="Y174" s="30">
        <f>_xlfn.XLOOKUP(Table5[[#This Row],[City]],City_Delivery_Fee_tbl[City],City_Delivery_Fee_tbl[BaseDeliveryFee_NPR])</f>
        <v>50</v>
      </c>
      <c r="Z17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74" s="31">
        <f>Table5[[#This Row],[Order Amount]]+Table5[[#This Row],[Delivery Fee]]-Table5[[#This Row],[Discount Amount]]</f>
        <v>270</v>
      </c>
      <c r="AB174" s="30" t="str">
        <f>_xlfn.XLOOKUP(Table5[[#This Row],[RiderID]], Rider_Directory!$F$2:$F$26, Rider_Directory!$B$2:$B$26)</f>
        <v>Kathmandu</v>
      </c>
      <c r="AC174" s="30" t="str" cm="1">
        <f t="array" ref="AC174">_xlfn.IFS(Table5[[#This Row],[Final Amount]]&lt;500, "Small", Table5[[#This Row],[Final Amount]]&lt;=1000, "Medium", Table5[[#This Row],[Final Amount]]&gt;1000, "Large")</f>
        <v>Small</v>
      </c>
      <c r="AD174" s="30" t="str">
        <f>_xlfn.LET(_xlpm.expiry,_xlfn.XLOOKUP(Table5[[#This Row],[PromoCode]],Promo_Codes!$A$2:$A$9,Promo_Codes!$F$2:$F$9,DATE(2099,1,1)),IF(Table5[[#This Row],[OrderDate]]&gt;_xlpm.expiry,"Expired Code Used","Valid"))</f>
        <v>Valid</v>
      </c>
    </row>
    <row r="175" spans="1:30" x14ac:dyDescent="0.3">
      <c r="A175" s="28" t="s">
        <v>615</v>
      </c>
      <c r="B175" s="27">
        <v>45966</v>
      </c>
      <c r="C175" s="28" t="s">
        <v>322</v>
      </c>
      <c r="D175" s="28" t="s">
        <v>1162</v>
      </c>
      <c r="E175" s="27">
        <v>45916</v>
      </c>
      <c r="F175" s="27" t="str">
        <f t="shared" si="6"/>
        <v>Returning</v>
      </c>
      <c r="G175" s="28" t="s">
        <v>135</v>
      </c>
      <c r="H175" s="28" t="s">
        <v>178</v>
      </c>
      <c r="I175" s="28" t="s">
        <v>179</v>
      </c>
      <c r="J175" s="28" t="s">
        <v>297</v>
      </c>
      <c r="K175" s="29">
        <v>2</v>
      </c>
      <c r="L175" s="28" t="s">
        <v>223</v>
      </c>
      <c r="M175" s="28" t="s">
        <v>128</v>
      </c>
      <c r="N175" s="28" t="s">
        <v>182</v>
      </c>
      <c r="O175" s="28" t="s">
        <v>130</v>
      </c>
      <c r="P175" s="28" t="str">
        <f t="shared" si="7"/>
        <v/>
      </c>
      <c r="Q175" s="29">
        <v>5</v>
      </c>
      <c r="R175" s="29">
        <v>27</v>
      </c>
      <c r="S175" s="28" t="s">
        <v>141</v>
      </c>
      <c r="T175" s="30" t="str">
        <f>_xlfn.CONCAT(Table5[[#This Row],[OrderID]]," | ",Table5[[#This Row],[City]]," | ",Table5[[#This Row],[ItemName]])</f>
        <v>ORD-1171 | Kathmandu | Chicken Chowmein</v>
      </c>
      <c r="U175" s="30" t="str">
        <f>UPPER(Table5[[#This Row],[City]])</f>
        <v>KATHMANDU</v>
      </c>
      <c r="V175" s="30" t="str">
        <f>LOWER(Table5[[#This Row],[PaymentMethod]])</f>
        <v>esewa</v>
      </c>
      <c r="W175" s="30" cm="1">
        <f t="array" ref="W175">_xlfn.XLOOKUP(TRIM(Table5[[#This Row],[ItemName]]), TRIM(Menu_Price_List_tbl[ItemName]),Menu_Price_List_tbl[UnitPrice_NPR])</f>
        <v>250</v>
      </c>
      <c r="X175" s="31">
        <f t="shared" si="8"/>
        <v>500</v>
      </c>
      <c r="Y175" s="30">
        <f>_xlfn.XLOOKUP(Table5[[#This Row],[City]],City_Delivery_Fee_tbl[City],City_Delivery_Fee_tbl[BaseDeliveryFee_NPR])</f>
        <v>50</v>
      </c>
      <c r="Z17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75</v>
      </c>
      <c r="AA175" s="31">
        <f>Table5[[#This Row],[Order Amount]]+Table5[[#This Row],[Delivery Fee]]-Table5[[#This Row],[Discount Amount]]</f>
        <v>475</v>
      </c>
      <c r="AB175" s="30" t="str">
        <f>_xlfn.XLOOKUP(Table5[[#This Row],[RiderID]], Rider_Directory!$F$2:$F$26, Rider_Directory!$B$2:$B$26)</f>
        <v>Kathmandu</v>
      </c>
      <c r="AC175" s="30" t="str" cm="1">
        <f t="array" ref="AC175">_xlfn.IFS(Table5[[#This Row],[Final Amount]]&lt;500, "Small", Table5[[#This Row],[Final Amount]]&lt;=1000, "Medium", Table5[[#This Row],[Final Amount]]&gt;1000, "Large")</f>
        <v>Small</v>
      </c>
      <c r="AD175" s="30" t="str">
        <f>_xlfn.LET(_xlpm.expiry,_xlfn.XLOOKUP(Table5[[#This Row],[PromoCode]],Promo_Codes!$A$2:$A$9,Promo_Codes!$F$2:$F$9,DATE(2099,1,1)),IF(Table5[[#This Row],[OrderDate]]&gt;_xlpm.expiry,"Expired Code Used","Valid"))</f>
        <v>Valid</v>
      </c>
    </row>
    <row r="176" spans="1:30" x14ac:dyDescent="0.3">
      <c r="A176" s="28" t="s">
        <v>935</v>
      </c>
      <c r="B176" s="27">
        <v>45966</v>
      </c>
      <c r="C176" s="28" t="s">
        <v>857</v>
      </c>
      <c r="D176" s="28" t="s">
        <v>1273</v>
      </c>
      <c r="E176" s="27">
        <v>45963</v>
      </c>
      <c r="F176" s="27" t="str">
        <f t="shared" si="6"/>
        <v>Returning</v>
      </c>
      <c r="G176" s="28" t="s">
        <v>206</v>
      </c>
      <c r="H176" s="28" t="s">
        <v>163</v>
      </c>
      <c r="I176" s="28" t="s">
        <v>164</v>
      </c>
      <c r="J176" s="28" t="s">
        <v>521</v>
      </c>
      <c r="K176" s="29">
        <v>1</v>
      </c>
      <c r="L176" s="28" t="s">
        <v>298</v>
      </c>
      <c r="M176" s="28" t="s">
        <v>128</v>
      </c>
      <c r="N176" s="28" t="s">
        <v>255</v>
      </c>
      <c r="O176" s="28" t="s">
        <v>130</v>
      </c>
      <c r="P176" s="28" t="str">
        <f t="shared" si="7"/>
        <v/>
      </c>
      <c r="Q176" s="29">
        <v>5</v>
      </c>
      <c r="R176" s="29">
        <v>39</v>
      </c>
      <c r="S176" s="28"/>
      <c r="T176" s="30" t="str">
        <f>_xlfn.CONCAT(Table5[[#This Row],[OrderID]]," | ",Table5[[#This Row],[City]]," | ",Table5[[#This Row],[ItemName]])</f>
        <v>ORD-1172 | Pokhara | Lassi</v>
      </c>
      <c r="U176" s="30" t="str">
        <f>UPPER(Table5[[#This Row],[City]])</f>
        <v>POKHARA</v>
      </c>
      <c r="V176" s="30" t="str">
        <f>LOWER(Table5[[#This Row],[PaymentMethod]])</f>
        <v>esewa</v>
      </c>
      <c r="W176" s="30" cm="1">
        <f t="array" ref="W176">_xlfn.XLOOKUP(TRIM(Table5[[#This Row],[ItemName]]), TRIM(Menu_Price_List_tbl[ItemName]),Menu_Price_List_tbl[UnitPrice_NPR])</f>
        <v>130</v>
      </c>
      <c r="X176" s="31">
        <f t="shared" si="8"/>
        <v>130</v>
      </c>
      <c r="Y176" s="30">
        <f>_xlfn.XLOOKUP(Table5[[#This Row],[City]],City_Delivery_Fee_tbl[City],City_Delivery_Fee_tbl[BaseDeliveryFee_NPR])</f>
        <v>70</v>
      </c>
      <c r="Z17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13</v>
      </c>
      <c r="AA176" s="31">
        <f>Table5[[#This Row],[Order Amount]]+Table5[[#This Row],[Delivery Fee]]-Table5[[#This Row],[Discount Amount]]</f>
        <v>187</v>
      </c>
      <c r="AB176" s="30" t="str">
        <f>_xlfn.XLOOKUP(Table5[[#This Row],[RiderID]], Rider_Directory!$F$2:$F$26, Rider_Directory!$B$2:$B$26)</f>
        <v>Pokhara</v>
      </c>
      <c r="AC176" s="30" t="str" cm="1">
        <f t="array" ref="AC176">_xlfn.IFS(Table5[[#This Row],[Final Amount]]&lt;500, "Small", Table5[[#This Row],[Final Amount]]&lt;=1000, "Medium", Table5[[#This Row],[Final Amount]]&gt;1000, "Large")</f>
        <v>Small</v>
      </c>
      <c r="AD176" s="30" t="str">
        <f>_xlfn.LET(_xlpm.expiry,_xlfn.XLOOKUP(Table5[[#This Row],[PromoCode]],Promo_Codes!$A$2:$A$9,Promo_Codes!$F$2:$F$9,DATE(2099,1,1)),IF(Table5[[#This Row],[OrderDate]]&gt;_xlpm.expiry,"Expired Code Used","Valid"))</f>
        <v>Valid</v>
      </c>
    </row>
    <row r="177" spans="1:30" x14ac:dyDescent="0.3">
      <c r="A177" s="28" t="s">
        <v>292</v>
      </c>
      <c r="B177" s="27">
        <v>45966</v>
      </c>
      <c r="C177" s="28" t="s">
        <v>184</v>
      </c>
      <c r="D177" s="28" t="s">
        <v>1166</v>
      </c>
      <c r="E177" s="27">
        <v>45909</v>
      </c>
      <c r="F177" s="27" t="str">
        <f t="shared" si="6"/>
        <v>Returning</v>
      </c>
      <c r="G177" s="28" t="s">
        <v>198</v>
      </c>
      <c r="H177" s="28" t="s">
        <v>216</v>
      </c>
      <c r="I177" s="28" t="s">
        <v>125</v>
      </c>
      <c r="J177" s="28" t="s">
        <v>295</v>
      </c>
      <c r="K177" s="29">
        <v>1</v>
      </c>
      <c r="L177" s="28" t="s">
        <v>213</v>
      </c>
      <c r="M177" s="28" t="s">
        <v>128</v>
      </c>
      <c r="N177" s="28"/>
      <c r="O177" s="28" t="s">
        <v>130</v>
      </c>
      <c r="P177" s="28" t="str">
        <f t="shared" si="7"/>
        <v/>
      </c>
      <c r="Q177" s="29">
        <v>4</v>
      </c>
      <c r="R177" s="29">
        <v>15</v>
      </c>
      <c r="S177" s="28"/>
      <c r="T177" s="30" t="str">
        <f>_xlfn.CONCAT(Table5[[#This Row],[OrderID]]," | ",Table5[[#This Row],[City]]," | ",Table5[[#This Row],[ItemName]])</f>
        <v>ORD-1173 | Lalitpur | Sukuti Sandheko</v>
      </c>
      <c r="U177" s="30" t="str">
        <f>UPPER(Table5[[#This Row],[City]])</f>
        <v>LALITPUR</v>
      </c>
      <c r="V177" s="30" t="str">
        <f>LOWER(Table5[[#This Row],[PaymentMethod]])</f>
        <v>esewa</v>
      </c>
      <c r="W177" s="30" cm="1">
        <f t="array" ref="W177">_xlfn.XLOOKUP(TRIM(Table5[[#This Row],[ItemName]]), TRIM(Menu_Price_List_tbl[ItemName]),Menu_Price_List_tbl[UnitPrice_NPR])</f>
        <v>350</v>
      </c>
      <c r="X177" s="31">
        <f t="shared" si="8"/>
        <v>350</v>
      </c>
      <c r="Y177" s="30">
        <f>_xlfn.XLOOKUP(Table5[[#This Row],[City]],City_Delivery_Fee_tbl[City],City_Delivery_Fee_tbl[BaseDeliveryFee_NPR])</f>
        <v>50</v>
      </c>
      <c r="Z17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77" s="31">
        <f>Table5[[#This Row],[Order Amount]]+Table5[[#This Row],[Delivery Fee]]-Table5[[#This Row],[Discount Amount]]</f>
        <v>400</v>
      </c>
      <c r="AB177" s="30" t="str">
        <f>_xlfn.XLOOKUP(Table5[[#This Row],[RiderID]], Rider_Directory!$F$2:$F$26, Rider_Directory!$B$2:$B$26)</f>
        <v>Lalitpur</v>
      </c>
      <c r="AC177" s="30" t="str" cm="1">
        <f t="array" ref="AC177">_xlfn.IFS(Table5[[#This Row],[Final Amount]]&lt;500, "Small", Table5[[#This Row],[Final Amount]]&lt;=1000, "Medium", Table5[[#This Row],[Final Amount]]&gt;1000, "Large")</f>
        <v>Small</v>
      </c>
      <c r="AD177" s="30" t="str">
        <f>_xlfn.LET(_xlpm.expiry,_xlfn.XLOOKUP(Table5[[#This Row],[PromoCode]],Promo_Codes!$A$2:$A$9,Promo_Codes!$F$2:$F$9,DATE(2099,1,1)),IF(Table5[[#This Row],[OrderDate]]&gt;_xlpm.expiry,"Expired Code Used","Valid"))</f>
        <v>Valid</v>
      </c>
    </row>
    <row r="178" spans="1:30" x14ac:dyDescent="0.3">
      <c r="A178" s="28" t="s">
        <v>535</v>
      </c>
      <c r="B178" s="27">
        <v>45966</v>
      </c>
      <c r="C178" s="28" t="s">
        <v>536</v>
      </c>
      <c r="D178" s="28" t="s">
        <v>1227</v>
      </c>
      <c r="E178" s="27">
        <v>45966</v>
      </c>
      <c r="F178" s="27" t="str">
        <f t="shared" si="6"/>
        <v>New</v>
      </c>
      <c r="G178" s="28" t="s">
        <v>170</v>
      </c>
      <c r="H178" s="28" t="s">
        <v>538</v>
      </c>
      <c r="I178" s="28" t="s">
        <v>351</v>
      </c>
      <c r="J178" s="28" t="s">
        <v>539</v>
      </c>
      <c r="K178" s="29">
        <v>4</v>
      </c>
      <c r="L178" s="28" t="s">
        <v>173</v>
      </c>
      <c r="M178" s="28" t="s">
        <v>140</v>
      </c>
      <c r="N178" s="28" t="s">
        <v>182</v>
      </c>
      <c r="O178" s="28" t="s">
        <v>130</v>
      </c>
      <c r="P178" s="28" t="str">
        <f t="shared" si="7"/>
        <v/>
      </c>
      <c r="Q178" s="29">
        <v>2</v>
      </c>
      <c r="R178" s="29">
        <v>58</v>
      </c>
      <c r="S178" s="28"/>
      <c r="T178" s="30" t="str">
        <f>_xlfn.CONCAT(Table5[[#This Row],[OrderID]]," | ",Table5[[#This Row],[City]]," | ",Table5[[#This Row],[ItemName]])</f>
        <v>ORD-1174 | Butwal | Mutton Sekuwa</v>
      </c>
      <c r="U178" s="30" t="str">
        <f>UPPER(Table5[[#This Row],[City]])</f>
        <v>BUTWAL</v>
      </c>
      <c r="V178" s="30" t="str">
        <f>LOWER(Table5[[#This Row],[PaymentMethod]])</f>
        <v>cash on delivery</v>
      </c>
      <c r="W178" s="30" cm="1">
        <f t="array" ref="W178">_xlfn.XLOOKUP(TRIM(Table5[[#This Row],[ItemName]]), TRIM(Menu_Price_List_tbl[ItemName]),Menu_Price_List_tbl[UnitPrice_NPR])</f>
        <v>600</v>
      </c>
      <c r="X178" s="31">
        <f t="shared" si="8"/>
        <v>2400</v>
      </c>
      <c r="Y178" s="30">
        <f>_xlfn.XLOOKUP(Table5[[#This Row],[City]],City_Delivery_Fee_tbl[City],City_Delivery_Fee_tbl[BaseDeliveryFee_NPR])</f>
        <v>85</v>
      </c>
      <c r="Z17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360</v>
      </c>
      <c r="AA178" s="31">
        <f>Table5[[#This Row],[Order Amount]]+Table5[[#This Row],[Delivery Fee]]-Table5[[#This Row],[Discount Amount]]</f>
        <v>2125</v>
      </c>
      <c r="AB178" s="30" t="str">
        <f>_xlfn.XLOOKUP(Table5[[#This Row],[RiderID]], Rider_Directory!$F$2:$F$26, Rider_Directory!$B$2:$B$26)</f>
        <v>Butwal</v>
      </c>
      <c r="AC178" s="30" t="str" cm="1">
        <f t="array" ref="AC178">_xlfn.IFS(Table5[[#This Row],[Final Amount]]&lt;500, "Small", Table5[[#This Row],[Final Amount]]&lt;=1000, "Medium", Table5[[#This Row],[Final Amount]]&gt;1000, "Large")</f>
        <v>Large</v>
      </c>
      <c r="AD178" s="30" t="str">
        <f>_xlfn.LET(_xlpm.expiry,_xlfn.XLOOKUP(Table5[[#This Row],[PromoCode]],Promo_Codes!$A$2:$A$9,Promo_Codes!$F$2:$F$9,DATE(2099,1,1)),IF(Table5[[#This Row],[OrderDate]]&gt;_xlpm.expiry,"Expired Code Used","Valid"))</f>
        <v>Valid</v>
      </c>
    </row>
    <row r="179" spans="1:30" x14ac:dyDescent="0.3">
      <c r="A179" s="28" t="s">
        <v>836</v>
      </c>
      <c r="B179" s="27">
        <v>45966</v>
      </c>
      <c r="C179" s="28" t="s">
        <v>764</v>
      </c>
      <c r="D179" s="28" t="s">
        <v>1271</v>
      </c>
      <c r="E179" s="27">
        <v>45835</v>
      </c>
      <c r="F179" s="27" t="str">
        <f t="shared" si="6"/>
        <v>Returning</v>
      </c>
      <c r="G179" s="28" t="s">
        <v>177</v>
      </c>
      <c r="H179" s="28" t="s">
        <v>155</v>
      </c>
      <c r="I179" s="28" t="s">
        <v>156</v>
      </c>
      <c r="J179" s="28" t="s">
        <v>317</v>
      </c>
      <c r="K179" s="29">
        <v>3</v>
      </c>
      <c r="L179" s="28" t="s">
        <v>713</v>
      </c>
      <c r="M179" s="28" t="s">
        <v>278</v>
      </c>
      <c r="N179" s="28" t="s">
        <v>182</v>
      </c>
      <c r="O179" s="28" t="s">
        <v>130</v>
      </c>
      <c r="P179" s="28" t="str">
        <f t="shared" si="7"/>
        <v/>
      </c>
      <c r="Q179" s="29">
        <v>5</v>
      </c>
      <c r="R179" s="29">
        <v>31</v>
      </c>
      <c r="S179" s="28"/>
      <c r="T179" s="30" t="str">
        <f>_xlfn.CONCAT(Table5[[#This Row],[OrderID]]," | ",Table5[[#This Row],[City]]," | ",Table5[[#This Row],[ItemName]])</f>
        <v>ORD-1175 | Bhaktapur | Chicken Fried Rice</v>
      </c>
      <c r="U179" s="30" t="str">
        <f>UPPER(Table5[[#This Row],[City]])</f>
        <v>BHAKTAPUR</v>
      </c>
      <c r="V179" s="30" t="str">
        <f>LOWER(Table5[[#This Row],[PaymentMethod]])</f>
        <v>connectips</v>
      </c>
      <c r="W179" s="30" cm="1">
        <f t="array" ref="W179">_xlfn.XLOOKUP(TRIM(Table5[[#This Row],[ItemName]]), TRIM(Menu_Price_List_tbl[ItemName]),Menu_Price_List_tbl[UnitPrice_NPR])</f>
        <v>260</v>
      </c>
      <c r="X179" s="31">
        <f t="shared" si="8"/>
        <v>780</v>
      </c>
      <c r="Y179" s="30">
        <f>_xlfn.XLOOKUP(Table5[[#This Row],[City]],City_Delivery_Fee_tbl[City],City_Delivery_Fee_tbl[BaseDeliveryFee_NPR])</f>
        <v>55</v>
      </c>
      <c r="Z17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117</v>
      </c>
      <c r="AA179" s="31">
        <f>Table5[[#This Row],[Order Amount]]+Table5[[#This Row],[Delivery Fee]]-Table5[[#This Row],[Discount Amount]]</f>
        <v>718</v>
      </c>
      <c r="AB179" s="30" t="str">
        <f>_xlfn.XLOOKUP(Table5[[#This Row],[RiderID]], Rider_Directory!$F$2:$F$26, Rider_Directory!$B$2:$B$26)</f>
        <v>Bhaktapur</v>
      </c>
      <c r="AC179" s="30" t="str" cm="1">
        <f t="array" ref="AC179">_xlfn.IFS(Table5[[#This Row],[Final Amount]]&lt;500, "Small", Table5[[#This Row],[Final Amount]]&lt;=1000, "Medium", Table5[[#This Row],[Final Amount]]&gt;1000, "Large")</f>
        <v>Medium</v>
      </c>
      <c r="AD179" s="30" t="str">
        <f>_xlfn.LET(_xlpm.expiry,_xlfn.XLOOKUP(Table5[[#This Row],[PromoCode]],Promo_Codes!$A$2:$A$9,Promo_Codes!$F$2:$F$9,DATE(2099,1,1)),IF(Table5[[#This Row],[OrderDate]]&gt;_xlpm.expiry,"Expired Code Used","Valid"))</f>
        <v>Valid</v>
      </c>
    </row>
    <row r="180" spans="1:30" x14ac:dyDescent="0.3">
      <c r="A180" s="28" t="s">
        <v>491</v>
      </c>
      <c r="B180" s="27">
        <v>45967</v>
      </c>
      <c r="C180" s="28" t="s">
        <v>511</v>
      </c>
      <c r="D180" s="28" t="s">
        <v>1172</v>
      </c>
      <c r="E180" s="27">
        <v>45967</v>
      </c>
      <c r="F180" s="27" t="str">
        <f t="shared" si="6"/>
        <v>New</v>
      </c>
      <c r="G180" s="28" t="s">
        <v>206</v>
      </c>
      <c r="H180" s="28" t="s">
        <v>146</v>
      </c>
      <c r="I180" s="28" t="s">
        <v>147</v>
      </c>
      <c r="J180" s="28" t="s">
        <v>264</v>
      </c>
      <c r="K180" s="29">
        <v>3</v>
      </c>
      <c r="L180" s="28" t="s">
        <v>208</v>
      </c>
      <c r="M180" s="28" t="s">
        <v>140</v>
      </c>
      <c r="N180" s="28" t="s">
        <v>182</v>
      </c>
      <c r="O180" s="28" t="s">
        <v>130</v>
      </c>
      <c r="P180" s="28" t="str">
        <f t="shared" si="7"/>
        <v/>
      </c>
      <c r="Q180" s="29">
        <v>5</v>
      </c>
      <c r="R180" s="29">
        <v>43</v>
      </c>
      <c r="S180" s="28"/>
      <c r="T180" s="30" t="str">
        <f>_xlfn.CONCAT(Table5[[#This Row],[OrderID]]," | ",Table5[[#This Row],[City]]," | ",Table5[[#This Row],[ItemName]])</f>
        <v>ORD-1176 | Pokhara | Cheese Cake Slice</v>
      </c>
      <c r="U180" s="30" t="str">
        <f>UPPER(Table5[[#This Row],[City]])</f>
        <v>POKHARA</v>
      </c>
      <c r="V180" s="30" t="str">
        <f>LOWER(Table5[[#This Row],[PaymentMethod]])</f>
        <v>cash on delivery</v>
      </c>
      <c r="W180" s="30" cm="1">
        <f t="array" ref="W180">_xlfn.XLOOKUP(TRIM(Table5[[#This Row],[ItemName]]), TRIM(Menu_Price_List_tbl[ItemName]),Menu_Price_List_tbl[UnitPrice_NPR])</f>
        <v>250</v>
      </c>
      <c r="X180" s="31">
        <f t="shared" si="8"/>
        <v>750</v>
      </c>
      <c r="Y180" s="30">
        <f>_xlfn.XLOOKUP(Table5[[#This Row],[City]],City_Delivery_Fee_tbl[City],City_Delivery_Fee_tbl[BaseDeliveryFee_NPR])</f>
        <v>70</v>
      </c>
      <c r="Z18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112.5</v>
      </c>
      <c r="AA180" s="31">
        <f>Table5[[#This Row],[Order Amount]]+Table5[[#This Row],[Delivery Fee]]-Table5[[#This Row],[Discount Amount]]</f>
        <v>707.5</v>
      </c>
      <c r="AB180" s="30" t="str">
        <f>_xlfn.XLOOKUP(Table5[[#This Row],[RiderID]], Rider_Directory!$F$2:$F$26, Rider_Directory!$B$2:$B$26)</f>
        <v>Pokhara</v>
      </c>
      <c r="AC180" s="30" t="str" cm="1">
        <f t="array" ref="AC180">_xlfn.IFS(Table5[[#This Row],[Final Amount]]&lt;500, "Small", Table5[[#This Row],[Final Amount]]&lt;=1000, "Medium", Table5[[#This Row],[Final Amount]]&gt;1000, "Large")</f>
        <v>Medium</v>
      </c>
      <c r="AD180" s="30" t="str">
        <f>_xlfn.LET(_xlpm.expiry,_xlfn.XLOOKUP(Table5[[#This Row],[PromoCode]],Promo_Codes!$A$2:$A$9,Promo_Codes!$F$2:$F$9,DATE(2099,1,1)),IF(Table5[[#This Row],[OrderDate]]&gt;_xlpm.expiry,"Expired Code Used","Valid"))</f>
        <v>Valid</v>
      </c>
    </row>
    <row r="181" spans="1:30" x14ac:dyDescent="0.3">
      <c r="A181" s="28" t="s">
        <v>632</v>
      </c>
      <c r="B181" s="27">
        <v>45967</v>
      </c>
      <c r="C181" s="28" t="s">
        <v>444</v>
      </c>
      <c r="D181" s="28" t="s">
        <v>1213</v>
      </c>
      <c r="E181" s="27">
        <v>45947</v>
      </c>
      <c r="F181" s="27" t="str">
        <f t="shared" si="6"/>
        <v>Returning</v>
      </c>
      <c r="G181" s="28" t="s">
        <v>135</v>
      </c>
      <c r="H181" s="28" t="s">
        <v>178</v>
      </c>
      <c r="I181" s="28" t="s">
        <v>179</v>
      </c>
      <c r="J181" s="28" t="s">
        <v>453</v>
      </c>
      <c r="K181" s="29">
        <v>3</v>
      </c>
      <c r="L181" s="28" t="s">
        <v>139</v>
      </c>
      <c r="M181" s="28" t="s">
        <v>128</v>
      </c>
      <c r="N181" s="28" t="s">
        <v>182</v>
      </c>
      <c r="O181" s="28" t="s">
        <v>235</v>
      </c>
      <c r="P181" s="28" t="str">
        <f t="shared" si="7"/>
        <v/>
      </c>
      <c r="Q181" s="28"/>
      <c r="R181" s="29">
        <v>30</v>
      </c>
      <c r="S181" s="28"/>
      <c r="T181" s="30" t="str">
        <f>_xlfn.CONCAT(Table5[[#This Row],[OrderID]]," | ",Table5[[#This Row],[City]]," | ",Table5[[#This Row],[ItemName]])</f>
        <v>ORD-1177 | Kathmandu | Margherita Pizza</v>
      </c>
      <c r="U181" s="30" t="str">
        <f>UPPER(Table5[[#This Row],[City]])</f>
        <v>KATHMANDU</v>
      </c>
      <c r="V181" s="30" t="str">
        <f>LOWER(Table5[[#This Row],[PaymentMethod]])</f>
        <v>esewa</v>
      </c>
      <c r="W181" s="30" cm="1">
        <f t="array" ref="W181">_xlfn.XLOOKUP(TRIM(Table5[[#This Row],[ItemName]]), TRIM(Menu_Price_List_tbl[ItemName]),Menu_Price_List_tbl[UnitPrice_NPR])</f>
        <v>550</v>
      </c>
      <c r="X181" s="31">
        <f t="shared" si="8"/>
        <v>1650</v>
      </c>
      <c r="Y181" s="30">
        <f>_xlfn.XLOOKUP(Table5[[#This Row],[City]],City_Delivery_Fee_tbl[City],City_Delivery_Fee_tbl[BaseDeliveryFee_NPR])</f>
        <v>50</v>
      </c>
      <c r="Z18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247.5</v>
      </c>
      <c r="AA181" s="31">
        <f>Table5[[#This Row],[Order Amount]]+Table5[[#This Row],[Delivery Fee]]-Table5[[#This Row],[Discount Amount]]</f>
        <v>1452.5</v>
      </c>
      <c r="AB181" s="30" t="str">
        <f>_xlfn.XLOOKUP(Table5[[#This Row],[RiderID]], Rider_Directory!$F$2:$F$26, Rider_Directory!$B$2:$B$26)</f>
        <v>Kathmandu</v>
      </c>
      <c r="AC181" s="30" t="str" cm="1">
        <f t="array" ref="AC181">_xlfn.IFS(Table5[[#This Row],[Final Amount]]&lt;500, "Small", Table5[[#This Row],[Final Amount]]&lt;=1000, "Medium", Table5[[#This Row],[Final Amount]]&gt;1000, "Large")</f>
        <v>Large</v>
      </c>
      <c r="AD181" s="30" t="str">
        <f>_xlfn.LET(_xlpm.expiry,_xlfn.XLOOKUP(Table5[[#This Row],[PromoCode]],Promo_Codes!$A$2:$A$9,Promo_Codes!$F$2:$F$9,DATE(2099,1,1)),IF(Table5[[#This Row],[OrderDate]]&gt;_xlpm.expiry,"Expired Code Used","Valid"))</f>
        <v>Valid</v>
      </c>
    </row>
    <row r="182" spans="1:30" x14ac:dyDescent="0.3">
      <c r="A182" s="28" t="s">
        <v>656</v>
      </c>
      <c r="B182" s="27">
        <v>45967</v>
      </c>
      <c r="C182" s="28" t="s">
        <v>325</v>
      </c>
      <c r="D182" s="28" t="s">
        <v>1245</v>
      </c>
      <c r="E182" s="27">
        <v>45966</v>
      </c>
      <c r="F182" s="27" t="str">
        <f t="shared" si="6"/>
        <v>New</v>
      </c>
      <c r="G182" s="28" t="s">
        <v>259</v>
      </c>
      <c r="H182" s="28" t="s">
        <v>216</v>
      </c>
      <c r="I182" s="28" t="s">
        <v>125</v>
      </c>
      <c r="J182" s="28" t="s">
        <v>295</v>
      </c>
      <c r="K182" s="29">
        <v>4</v>
      </c>
      <c r="L182" s="28" t="s">
        <v>260</v>
      </c>
      <c r="M182" s="28" t="s">
        <v>128</v>
      </c>
      <c r="N182" s="28" t="s">
        <v>182</v>
      </c>
      <c r="O182" s="28" t="s">
        <v>235</v>
      </c>
      <c r="P182" s="28" t="str">
        <f t="shared" si="7"/>
        <v/>
      </c>
      <c r="Q182" s="28"/>
      <c r="R182" s="29">
        <v>53</v>
      </c>
      <c r="S182" s="28" t="s">
        <v>284</v>
      </c>
      <c r="T182" s="30" t="str">
        <f>_xlfn.CONCAT(Table5[[#This Row],[OrderID]]," | ",Table5[[#This Row],[City]]," | ",Table5[[#This Row],[ItemName]])</f>
        <v>ORD-1178 | Dharan | Sukuti Sandheko</v>
      </c>
      <c r="U182" s="30" t="str">
        <f>UPPER(Table5[[#This Row],[City]])</f>
        <v>DHARAN</v>
      </c>
      <c r="V182" s="30" t="str">
        <f>LOWER(Table5[[#This Row],[PaymentMethod]])</f>
        <v>esewa</v>
      </c>
      <c r="W182" s="30" cm="1">
        <f t="array" ref="W182">_xlfn.XLOOKUP(TRIM(Table5[[#This Row],[ItemName]]), TRIM(Menu_Price_List_tbl[ItemName]),Menu_Price_List_tbl[UnitPrice_NPR])</f>
        <v>350</v>
      </c>
      <c r="X182" s="31">
        <f t="shared" si="8"/>
        <v>1400</v>
      </c>
      <c r="Y182" s="30">
        <f>_xlfn.XLOOKUP(Table5[[#This Row],[City]],City_Delivery_Fee_tbl[City],City_Delivery_Fee_tbl[BaseDeliveryFee_NPR])</f>
        <v>95</v>
      </c>
      <c r="Z18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210</v>
      </c>
      <c r="AA182" s="31">
        <f>Table5[[#This Row],[Order Amount]]+Table5[[#This Row],[Delivery Fee]]-Table5[[#This Row],[Discount Amount]]</f>
        <v>1285</v>
      </c>
      <c r="AB182" s="30" t="str">
        <f>_xlfn.XLOOKUP(Table5[[#This Row],[RiderID]], Rider_Directory!$F$2:$F$26, Rider_Directory!$B$2:$B$26)</f>
        <v>Dharan</v>
      </c>
      <c r="AC182" s="30" t="str" cm="1">
        <f t="array" ref="AC182">_xlfn.IFS(Table5[[#This Row],[Final Amount]]&lt;500, "Small", Table5[[#This Row],[Final Amount]]&lt;=1000, "Medium", Table5[[#This Row],[Final Amount]]&gt;1000, "Large")</f>
        <v>Large</v>
      </c>
      <c r="AD182" s="30" t="str">
        <f>_xlfn.LET(_xlpm.expiry,_xlfn.XLOOKUP(Table5[[#This Row],[PromoCode]],Promo_Codes!$A$2:$A$9,Promo_Codes!$F$2:$F$9,DATE(2099,1,1)),IF(Table5[[#This Row],[OrderDate]]&gt;_xlpm.expiry,"Expired Code Used","Valid"))</f>
        <v>Valid</v>
      </c>
    </row>
    <row r="183" spans="1:30" x14ac:dyDescent="0.3">
      <c r="A183" s="28" t="s">
        <v>273</v>
      </c>
      <c r="B183" s="27">
        <v>45967</v>
      </c>
      <c r="C183" s="28" t="s">
        <v>274</v>
      </c>
      <c r="D183" s="28" t="s">
        <v>1182</v>
      </c>
      <c r="E183" s="27">
        <v>45956</v>
      </c>
      <c r="F183" s="27" t="str">
        <f t="shared" si="6"/>
        <v>Returning</v>
      </c>
      <c r="G183" s="28" t="s">
        <v>135</v>
      </c>
      <c r="H183" s="28" t="s">
        <v>232</v>
      </c>
      <c r="I183" s="28" t="s">
        <v>233</v>
      </c>
      <c r="J183" s="28" t="s">
        <v>276</v>
      </c>
      <c r="K183" s="29">
        <v>2</v>
      </c>
      <c r="L183" s="28" t="s">
        <v>277</v>
      </c>
      <c r="M183" s="28" t="s">
        <v>278</v>
      </c>
      <c r="N183" s="28"/>
      <c r="O183" s="28" t="s">
        <v>279</v>
      </c>
      <c r="P183" s="28" t="str">
        <f t="shared" si="7"/>
        <v/>
      </c>
      <c r="Q183" s="28"/>
      <c r="R183" s="29">
        <v>21</v>
      </c>
      <c r="S183" s="28" t="s">
        <v>280</v>
      </c>
      <c r="T183" s="30" t="str">
        <f>_xlfn.CONCAT(Table5[[#This Row],[OrderID]]," | ",Table5[[#This Row],[City]]," | ",Table5[[#This Row],[ItemName]])</f>
        <v>ORD-1179 | Kathmandu | Chicken Momo (Steamed)</v>
      </c>
      <c r="U183" s="30" t="str">
        <f>UPPER(Table5[[#This Row],[City]])</f>
        <v>KATHMANDU</v>
      </c>
      <c r="V183" s="30" t="str">
        <f>LOWER(Table5[[#This Row],[PaymentMethod]])</f>
        <v>connectips</v>
      </c>
      <c r="W183" s="30" cm="1">
        <f t="array" ref="W183">_xlfn.XLOOKUP(TRIM(Table5[[#This Row],[ItemName]]), TRIM(Menu_Price_List_tbl[ItemName]),Menu_Price_List_tbl[UnitPrice_NPR])</f>
        <v>190</v>
      </c>
      <c r="X183" s="31">
        <f t="shared" si="8"/>
        <v>380</v>
      </c>
      <c r="Y183" s="30">
        <f>_xlfn.XLOOKUP(Table5[[#This Row],[City]],City_Delivery_Fee_tbl[City],City_Delivery_Fee_tbl[BaseDeliveryFee_NPR])</f>
        <v>50</v>
      </c>
      <c r="Z18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83" s="31">
        <f>Table5[[#This Row],[Order Amount]]+Table5[[#This Row],[Delivery Fee]]-Table5[[#This Row],[Discount Amount]]</f>
        <v>430</v>
      </c>
      <c r="AB183" s="30" t="str">
        <f>_xlfn.XLOOKUP(Table5[[#This Row],[RiderID]], Rider_Directory!$F$2:$F$26, Rider_Directory!$B$2:$B$26)</f>
        <v>Kathmandu</v>
      </c>
      <c r="AC183" s="30" t="str" cm="1">
        <f t="array" ref="AC183">_xlfn.IFS(Table5[[#This Row],[Final Amount]]&lt;500, "Small", Table5[[#This Row],[Final Amount]]&lt;=1000, "Medium", Table5[[#This Row],[Final Amount]]&gt;1000, "Large")</f>
        <v>Small</v>
      </c>
      <c r="AD183" s="30" t="str">
        <f>_xlfn.LET(_xlpm.expiry,_xlfn.XLOOKUP(Table5[[#This Row],[PromoCode]],Promo_Codes!$A$2:$A$9,Promo_Codes!$F$2:$F$9,DATE(2099,1,1)),IF(Table5[[#This Row],[OrderDate]]&gt;_xlpm.expiry,"Expired Code Used","Valid"))</f>
        <v>Valid</v>
      </c>
    </row>
    <row r="184" spans="1:30" x14ac:dyDescent="0.3">
      <c r="A184" s="28" t="s">
        <v>266</v>
      </c>
      <c r="B184" s="27">
        <v>45968</v>
      </c>
      <c r="C184" s="28" t="s">
        <v>741</v>
      </c>
      <c r="D184" s="28" t="s">
        <v>1180</v>
      </c>
      <c r="E184" s="27">
        <v>45961</v>
      </c>
      <c r="F184" s="27" t="str">
        <f t="shared" si="6"/>
        <v>Returning</v>
      </c>
      <c r="G184" s="28" t="s">
        <v>170</v>
      </c>
      <c r="H184" s="28" t="s">
        <v>192</v>
      </c>
      <c r="I184" s="28" t="s">
        <v>137</v>
      </c>
      <c r="J184" s="28" t="s">
        <v>269</v>
      </c>
      <c r="K184" s="29">
        <v>1</v>
      </c>
      <c r="L184" s="28" t="s">
        <v>158</v>
      </c>
      <c r="M184" s="28" t="s">
        <v>140</v>
      </c>
      <c r="N184" s="28" t="s">
        <v>182</v>
      </c>
      <c r="O184" s="28" t="s">
        <v>130</v>
      </c>
      <c r="P184" s="28" t="str">
        <f t="shared" si="7"/>
        <v/>
      </c>
      <c r="Q184" s="29">
        <v>3</v>
      </c>
      <c r="R184" s="29">
        <v>31</v>
      </c>
      <c r="S184" s="28"/>
      <c r="T184" s="30" t="str">
        <f>_xlfn.CONCAT(Table5[[#This Row],[OrderID]]," | ",Table5[[#This Row],[City]]," | ",Table5[[#This Row],[ItemName]])</f>
        <v>ORD-1180 | Butwal | Veg Thakali Set</v>
      </c>
      <c r="U184" s="30" t="str">
        <f>UPPER(Table5[[#This Row],[City]])</f>
        <v>BUTWAL</v>
      </c>
      <c r="V184" s="30" t="str">
        <f>LOWER(Table5[[#This Row],[PaymentMethod]])</f>
        <v>cash on delivery</v>
      </c>
      <c r="W184" s="30" cm="1">
        <f t="array" ref="W184">_xlfn.XLOOKUP(TRIM(Table5[[#This Row],[ItemName]]), TRIM(Menu_Price_List_tbl[ItemName]),Menu_Price_List_tbl[UnitPrice_NPR])</f>
        <v>380</v>
      </c>
      <c r="X184" s="31">
        <f t="shared" si="8"/>
        <v>380</v>
      </c>
      <c r="Y184" s="30">
        <f>_xlfn.XLOOKUP(Table5[[#This Row],[City]],City_Delivery_Fee_tbl[City],City_Delivery_Fee_tbl[BaseDeliveryFee_NPR])</f>
        <v>85</v>
      </c>
      <c r="Z18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57</v>
      </c>
      <c r="AA184" s="31">
        <f>Table5[[#This Row],[Order Amount]]+Table5[[#This Row],[Delivery Fee]]-Table5[[#This Row],[Discount Amount]]</f>
        <v>408</v>
      </c>
      <c r="AB184" s="30" t="str">
        <f>_xlfn.XLOOKUP(Table5[[#This Row],[RiderID]], Rider_Directory!$F$2:$F$26, Rider_Directory!$B$2:$B$26)</f>
        <v>Butwal</v>
      </c>
      <c r="AC184" s="30" t="str" cm="1">
        <f t="array" ref="AC184">_xlfn.IFS(Table5[[#This Row],[Final Amount]]&lt;500, "Small", Table5[[#This Row],[Final Amount]]&lt;=1000, "Medium", Table5[[#This Row],[Final Amount]]&gt;1000, "Large")</f>
        <v>Small</v>
      </c>
      <c r="AD184" s="30" t="str">
        <f>_xlfn.LET(_xlpm.expiry,_xlfn.XLOOKUP(Table5[[#This Row],[PromoCode]],Promo_Codes!$A$2:$A$9,Promo_Codes!$F$2:$F$9,DATE(2099,1,1)),IF(Table5[[#This Row],[OrderDate]]&gt;_xlpm.expiry,"Expired Code Used","Valid"))</f>
        <v>Valid</v>
      </c>
    </row>
    <row r="185" spans="1:30" x14ac:dyDescent="0.3">
      <c r="A185" s="28" t="s">
        <v>572</v>
      </c>
      <c r="B185" s="27">
        <v>45968</v>
      </c>
      <c r="C185" s="28" t="s">
        <v>1124</v>
      </c>
      <c r="D185" s="28" t="s">
        <v>1200</v>
      </c>
      <c r="E185" s="27">
        <v>45957</v>
      </c>
      <c r="F185" s="27" t="str">
        <f t="shared" si="6"/>
        <v>Returning</v>
      </c>
      <c r="G185" s="28" t="s">
        <v>170</v>
      </c>
      <c r="H185" s="28" t="s">
        <v>538</v>
      </c>
      <c r="I185" s="28" t="s">
        <v>351</v>
      </c>
      <c r="J185" s="28" t="s">
        <v>352</v>
      </c>
      <c r="K185" s="29">
        <v>2</v>
      </c>
      <c r="L185" s="28" t="s">
        <v>173</v>
      </c>
      <c r="M185" s="28" t="s">
        <v>128</v>
      </c>
      <c r="N185" s="28"/>
      <c r="O185" s="28" t="s">
        <v>130</v>
      </c>
      <c r="P185" s="28" t="str">
        <f t="shared" si="7"/>
        <v/>
      </c>
      <c r="Q185" s="29">
        <v>4</v>
      </c>
      <c r="R185" s="29">
        <v>52</v>
      </c>
      <c r="S185" s="28" t="s">
        <v>131</v>
      </c>
      <c r="T185" s="30" t="str">
        <f>_xlfn.CONCAT(Table5[[#This Row],[OrderID]]," | ",Table5[[#This Row],[City]]," | ",Table5[[#This Row],[ItemName]])</f>
        <v>ORD-1181 | Butwal | Buff Sekuwa</v>
      </c>
      <c r="U185" s="30" t="str">
        <f>UPPER(Table5[[#This Row],[City]])</f>
        <v>BUTWAL</v>
      </c>
      <c r="V185" s="30" t="str">
        <f>LOWER(Table5[[#This Row],[PaymentMethod]])</f>
        <v>esewa</v>
      </c>
      <c r="W185" s="30" cm="1">
        <f t="array" ref="W185">_xlfn.XLOOKUP(TRIM(Table5[[#This Row],[ItemName]]), TRIM(Menu_Price_List_tbl[ItemName]),Menu_Price_List_tbl[UnitPrice_NPR])</f>
        <v>380</v>
      </c>
      <c r="X185" s="31">
        <f t="shared" si="8"/>
        <v>760</v>
      </c>
      <c r="Y185" s="30">
        <f>_xlfn.XLOOKUP(Table5[[#This Row],[City]],City_Delivery_Fee_tbl[City],City_Delivery_Fee_tbl[BaseDeliveryFee_NPR])</f>
        <v>85</v>
      </c>
      <c r="Z18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85" s="31">
        <f>Table5[[#This Row],[Order Amount]]+Table5[[#This Row],[Delivery Fee]]-Table5[[#This Row],[Discount Amount]]</f>
        <v>845</v>
      </c>
      <c r="AB185" s="30" t="str">
        <f>_xlfn.XLOOKUP(Table5[[#This Row],[RiderID]], Rider_Directory!$F$2:$F$26, Rider_Directory!$B$2:$B$26)</f>
        <v>Butwal</v>
      </c>
      <c r="AC185" s="30" t="str" cm="1">
        <f t="array" ref="AC185">_xlfn.IFS(Table5[[#This Row],[Final Amount]]&lt;500, "Small", Table5[[#This Row],[Final Amount]]&lt;=1000, "Medium", Table5[[#This Row],[Final Amount]]&gt;1000, "Large")</f>
        <v>Medium</v>
      </c>
      <c r="AD185" s="30" t="str">
        <f>_xlfn.LET(_xlpm.expiry,_xlfn.XLOOKUP(Table5[[#This Row],[PromoCode]],Promo_Codes!$A$2:$A$9,Promo_Codes!$F$2:$F$9,DATE(2099,1,1)),IF(Table5[[#This Row],[OrderDate]]&gt;_xlpm.expiry,"Expired Code Used","Valid"))</f>
        <v>Valid</v>
      </c>
    </row>
    <row r="186" spans="1:30" x14ac:dyDescent="0.3">
      <c r="A186" s="28" t="s">
        <v>970</v>
      </c>
      <c r="B186" s="27">
        <v>45968</v>
      </c>
      <c r="C186" s="28" t="s">
        <v>750</v>
      </c>
      <c r="D186" s="28" t="s">
        <v>1261</v>
      </c>
      <c r="E186" s="27">
        <v>45880</v>
      </c>
      <c r="F186" s="27" t="str">
        <f t="shared" si="6"/>
        <v>Returning</v>
      </c>
      <c r="G186" s="28" t="s">
        <v>259</v>
      </c>
      <c r="H186" s="28" t="s">
        <v>232</v>
      </c>
      <c r="I186" s="28" t="s">
        <v>233</v>
      </c>
      <c r="J186" s="28" t="s">
        <v>246</v>
      </c>
      <c r="K186" s="29">
        <v>2</v>
      </c>
      <c r="L186" s="28" t="s">
        <v>474</v>
      </c>
      <c r="M186" s="28" t="s">
        <v>159</v>
      </c>
      <c r="N186" s="28" t="s">
        <v>182</v>
      </c>
      <c r="O186" s="28"/>
      <c r="P186" s="28" t="str">
        <f t="shared" si="7"/>
        <v xml:space="preserve"> NEED REVIEW</v>
      </c>
      <c r="Q186" s="29">
        <v>4</v>
      </c>
      <c r="R186" s="29">
        <v>44</v>
      </c>
      <c r="S186" s="28"/>
      <c r="T186" s="30" t="str">
        <f>_xlfn.CONCAT(Table5[[#This Row],[OrderID]]," | ",Table5[[#This Row],[City]]," | ",Table5[[#This Row],[ItemName]])</f>
        <v>ORD-1182 | Dharan | Chicken Momo (Fried)</v>
      </c>
      <c r="U186" s="30" t="str">
        <f>UPPER(Table5[[#This Row],[City]])</f>
        <v>DHARAN</v>
      </c>
      <c r="V186" s="30" t="str">
        <f>LOWER(Table5[[#This Row],[PaymentMethod]])</f>
        <v>khalti</v>
      </c>
      <c r="W186" s="30" cm="1">
        <f t="array" ref="W186">_xlfn.XLOOKUP(TRIM(Table5[[#This Row],[ItemName]]), TRIM(Menu_Price_List_tbl[ItemName]),Menu_Price_List_tbl[UnitPrice_NPR])</f>
        <v>210</v>
      </c>
      <c r="X186" s="31">
        <f t="shared" si="8"/>
        <v>420</v>
      </c>
      <c r="Y186" s="30">
        <f>_xlfn.XLOOKUP(Table5[[#This Row],[City]],City_Delivery_Fee_tbl[City],City_Delivery_Fee_tbl[BaseDeliveryFee_NPR])</f>
        <v>95</v>
      </c>
      <c r="Z18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63</v>
      </c>
      <c r="AA186" s="31">
        <f>Table5[[#This Row],[Order Amount]]+Table5[[#This Row],[Delivery Fee]]-Table5[[#This Row],[Discount Amount]]</f>
        <v>452</v>
      </c>
      <c r="AB186" s="30" t="str">
        <f>_xlfn.XLOOKUP(Table5[[#This Row],[RiderID]], Rider_Directory!$F$2:$F$26, Rider_Directory!$B$2:$B$26)</f>
        <v>Dharan</v>
      </c>
      <c r="AC186" s="30" t="str" cm="1">
        <f t="array" ref="AC186">_xlfn.IFS(Table5[[#This Row],[Final Amount]]&lt;500, "Small", Table5[[#This Row],[Final Amount]]&lt;=1000, "Medium", Table5[[#This Row],[Final Amount]]&gt;1000, "Large")</f>
        <v>Small</v>
      </c>
      <c r="AD186" s="30" t="str">
        <f>_xlfn.LET(_xlpm.expiry,_xlfn.XLOOKUP(Table5[[#This Row],[PromoCode]],Promo_Codes!$A$2:$A$9,Promo_Codes!$F$2:$F$9,DATE(2099,1,1)),IF(Table5[[#This Row],[OrderDate]]&gt;_xlpm.expiry,"Expired Code Used","Valid"))</f>
        <v>Valid</v>
      </c>
    </row>
    <row r="187" spans="1:30" x14ac:dyDescent="0.3">
      <c r="A187" s="28" t="s">
        <v>576</v>
      </c>
      <c r="B187" s="27">
        <v>45981</v>
      </c>
      <c r="C187" s="28" t="s">
        <v>1129</v>
      </c>
      <c r="D187" s="28" t="s">
        <v>1215</v>
      </c>
      <c r="E187" s="27">
        <v>45966</v>
      </c>
      <c r="F187" s="27" t="str">
        <f t="shared" si="6"/>
        <v>Returning</v>
      </c>
      <c r="G187" s="28" t="s">
        <v>135</v>
      </c>
      <c r="H187" s="28" t="s">
        <v>339</v>
      </c>
      <c r="I187" s="28" t="s">
        <v>233</v>
      </c>
      <c r="J187" s="28" t="s">
        <v>276</v>
      </c>
      <c r="K187" s="29">
        <v>1</v>
      </c>
      <c r="L187" s="28" t="s">
        <v>187</v>
      </c>
      <c r="M187" s="28" t="s">
        <v>128</v>
      </c>
      <c r="N187" s="28" t="s">
        <v>182</v>
      </c>
      <c r="O187" s="28" t="s">
        <v>130</v>
      </c>
      <c r="P187" s="28" t="str">
        <f t="shared" si="7"/>
        <v/>
      </c>
      <c r="Q187" s="29">
        <v>5</v>
      </c>
      <c r="R187" s="29">
        <v>30</v>
      </c>
      <c r="S187" s="28" t="s">
        <v>291</v>
      </c>
      <c r="T187" s="30" t="str">
        <f>_xlfn.CONCAT(Table5[[#This Row],[OrderID]]," | ",Table5[[#This Row],[City]]," | ",Table5[[#This Row],[ItemName]])</f>
        <v>ORD-1183 | Kathmandu | Chicken Momo (Steamed)</v>
      </c>
      <c r="U187" s="30" t="str">
        <f>UPPER(Table5[[#This Row],[City]])</f>
        <v>KATHMANDU</v>
      </c>
      <c r="V187" s="30" t="str">
        <f>LOWER(Table5[[#This Row],[PaymentMethod]])</f>
        <v>esewa</v>
      </c>
      <c r="W187" s="30" cm="1">
        <f t="array" ref="W187">_xlfn.XLOOKUP(TRIM(Table5[[#This Row],[ItemName]]), TRIM(Menu_Price_List_tbl[ItemName]),Menu_Price_List_tbl[UnitPrice_NPR])</f>
        <v>190</v>
      </c>
      <c r="X187" s="31">
        <f t="shared" si="8"/>
        <v>190</v>
      </c>
      <c r="Y187" s="30">
        <f>_xlfn.XLOOKUP(Table5[[#This Row],[City]],City_Delivery_Fee_tbl[City],City_Delivery_Fee_tbl[BaseDeliveryFee_NPR])</f>
        <v>50</v>
      </c>
      <c r="Z18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28.5</v>
      </c>
      <c r="AA187" s="31">
        <f>Table5[[#This Row],[Order Amount]]+Table5[[#This Row],[Delivery Fee]]-Table5[[#This Row],[Discount Amount]]</f>
        <v>211.5</v>
      </c>
      <c r="AB187" s="30" t="str">
        <f>_xlfn.XLOOKUP(Table5[[#This Row],[RiderID]], Rider_Directory!$F$2:$F$26, Rider_Directory!$B$2:$B$26)</f>
        <v>Kathmandu</v>
      </c>
      <c r="AC187" s="30" t="str" cm="1">
        <f t="array" ref="AC187">_xlfn.IFS(Table5[[#This Row],[Final Amount]]&lt;500, "Small", Table5[[#This Row],[Final Amount]]&lt;=1000, "Medium", Table5[[#This Row],[Final Amount]]&gt;1000, "Large")</f>
        <v>Small</v>
      </c>
      <c r="AD187" s="30" t="str">
        <f>_xlfn.LET(_xlpm.expiry,_xlfn.XLOOKUP(Table5[[#This Row],[PromoCode]],Promo_Codes!$A$2:$A$9,Promo_Codes!$F$2:$F$9,DATE(2099,1,1)),IF(Table5[[#This Row],[OrderDate]]&gt;_xlpm.expiry,"Expired Code Used","Valid"))</f>
        <v>Expired Code Used</v>
      </c>
    </row>
    <row r="188" spans="1:30" x14ac:dyDescent="0.3">
      <c r="A188" s="28" t="s">
        <v>861</v>
      </c>
      <c r="B188" s="27">
        <v>45968</v>
      </c>
      <c r="C188" s="28" t="s">
        <v>988</v>
      </c>
      <c r="D188" s="28" t="s">
        <v>1250</v>
      </c>
      <c r="E188" s="27">
        <v>45927</v>
      </c>
      <c r="F188" s="27" t="str">
        <f t="shared" si="6"/>
        <v>Returning</v>
      </c>
      <c r="G188" s="28" t="s">
        <v>123</v>
      </c>
      <c r="H188" s="28" t="s">
        <v>331</v>
      </c>
      <c r="I188" s="28" t="s">
        <v>164</v>
      </c>
      <c r="J188" s="28" t="s">
        <v>517</v>
      </c>
      <c r="K188" s="29">
        <v>2</v>
      </c>
      <c r="L188" s="28" t="s">
        <v>166</v>
      </c>
      <c r="M188" s="28" t="s">
        <v>128</v>
      </c>
      <c r="N188" s="28"/>
      <c r="O188" s="28" t="s">
        <v>130</v>
      </c>
      <c r="P188" s="28" t="str">
        <f t="shared" si="7"/>
        <v/>
      </c>
      <c r="Q188" s="29">
        <v>4</v>
      </c>
      <c r="R188" s="29">
        <v>38</v>
      </c>
      <c r="S188" s="28" t="s">
        <v>141</v>
      </c>
      <c r="T188" s="30" t="str">
        <f>_xlfn.CONCAT(Table5[[#This Row],[OrderID]]," | ",Table5[[#This Row],[City]]," | ",Table5[[#This Row],[ItemName]])</f>
        <v>ORD-1184 | Biratnagar | Mango Juice</v>
      </c>
      <c r="U188" s="30" t="str">
        <f>UPPER(Table5[[#This Row],[City]])</f>
        <v>BIRATNAGAR</v>
      </c>
      <c r="V188" s="30" t="str">
        <f>LOWER(Table5[[#This Row],[PaymentMethod]])</f>
        <v>esewa</v>
      </c>
      <c r="W188" s="30" cm="1">
        <f t="array" ref="W188">_xlfn.XLOOKUP(TRIM(Table5[[#This Row],[ItemName]]), TRIM(Menu_Price_List_tbl[ItemName]),Menu_Price_List_tbl[UnitPrice_NPR])</f>
        <v>120</v>
      </c>
      <c r="X188" s="31">
        <f t="shared" si="8"/>
        <v>240</v>
      </c>
      <c r="Y188" s="30">
        <f>_xlfn.XLOOKUP(Table5[[#This Row],[City]],City_Delivery_Fee_tbl[City],City_Delivery_Fee_tbl[BaseDeliveryFee_NPR])</f>
        <v>90</v>
      </c>
      <c r="Z18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88" s="31">
        <f>Table5[[#This Row],[Order Amount]]+Table5[[#This Row],[Delivery Fee]]-Table5[[#This Row],[Discount Amount]]</f>
        <v>330</v>
      </c>
      <c r="AB188" s="30" t="str">
        <f>_xlfn.XLOOKUP(Table5[[#This Row],[RiderID]], Rider_Directory!$F$2:$F$26, Rider_Directory!$B$2:$B$26)</f>
        <v>Biratnagar</v>
      </c>
      <c r="AC188" s="30" t="str" cm="1">
        <f t="array" ref="AC188">_xlfn.IFS(Table5[[#This Row],[Final Amount]]&lt;500, "Small", Table5[[#This Row],[Final Amount]]&lt;=1000, "Medium", Table5[[#This Row],[Final Amount]]&gt;1000, "Large")</f>
        <v>Small</v>
      </c>
      <c r="AD188" s="30" t="str">
        <f>_xlfn.LET(_xlpm.expiry,_xlfn.XLOOKUP(Table5[[#This Row],[PromoCode]],Promo_Codes!$A$2:$A$9,Promo_Codes!$F$2:$F$9,DATE(2099,1,1)),IF(Table5[[#This Row],[OrderDate]]&gt;_xlpm.expiry,"Expired Code Used","Valid"))</f>
        <v>Valid</v>
      </c>
    </row>
    <row r="189" spans="1:30" x14ac:dyDescent="0.3">
      <c r="A189" s="28" t="s">
        <v>1020</v>
      </c>
      <c r="B189" s="27">
        <v>45969</v>
      </c>
      <c r="C189" s="28" t="s">
        <v>1121</v>
      </c>
      <c r="D189" s="28" t="s">
        <v>1185</v>
      </c>
      <c r="E189" s="27">
        <v>45922</v>
      </c>
      <c r="F189" s="27" t="str">
        <f t="shared" si="6"/>
        <v>Returning</v>
      </c>
      <c r="G189" s="28" t="s">
        <v>198</v>
      </c>
      <c r="H189" s="28" t="s">
        <v>245</v>
      </c>
      <c r="I189" s="28" t="s">
        <v>233</v>
      </c>
      <c r="J189" s="28" t="s">
        <v>363</v>
      </c>
      <c r="K189" s="29">
        <v>1</v>
      </c>
      <c r="L189" s="28" t="s">
        <v>201</v>
      </c>
      <c r="M189" s="28" t="s">
        <v>247</v>
      </c>
      <c r="N189" s="28" t="s">
        <v>336</v>
      </c>
      <c r="O189" s="28" t="s">
        <v>130</v>
      </c>
      <c r="P189" s="28" t="str">
        <f t="shared" si="7"/>
        <v/>
      </c>
      <c r="Q189" s="29">
        <v>4</v>
      </c>
      <c r="R189" s="29">
        <v>37</v>
      </c>
      <c r="S189" s="28"/>
      <c r="T189" s="30" t="str">
        <f>_xlfn.CONCAT(Table5[[#This Row],[OrderID]]," | ",Table5[[#This Row],[City]]," | ",Table5[[#This Row],[ItemName]])</f>
        <v>ORD-1185 | Lalitpur | Jhol Momo</v>
      </c>
      <c r="U189" s="30" t="str">
        <f>UPPER(Table5[[#This Row],[City]])</f>
        <v>LALITPUR</v>
      </c>
      <c r="V189" s="30" t="str">
        <f>LOWER(Table5[[#This Row],[PaymentMethod]])</f>
        <v>ime pay</v>
      </c>
      <c r="W189" s="30" cm="1">
        <f t="array" ref="W189">_xlfn.XLOOKUP(TRIM(Table5[[#This Row],[ItemName]]), TRIM(Menu_Price_List_tbl[ItemName]),Menu_Price_List_tbl[UnitPrice_NPR])</f>
        <v>200</v>
      </c>
      <c r="X189" s="31">
        <f t="shared" si="8"/>
        <v>200</v>
      </c>
      <c r="Y189" s="30">
        <f>_xlfn.XLOOKUP(Table5[[#This Row],[City]],City_Delivery_Fee_tbl[City],City_Delivery_Fee_tbl[BaseDeliveryFee_NPR])</f>
        <v>50</v>
      </c>
      <c r="Z18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189" s="31">
        <f>Table5[[#This Row],[Order Amount]]+Table5[[#This Row],[Delivery Fee]]-Table5[[#This Row],[Discount Amount]]</f>
        <v>200</v>
      </c>
      <c r="AB189" s="30" t="str">
        <f>_xlfn.XLOOKUP(Table5[[#This Row],[RiderID]], Rider_Directory!$F$2:$F$26, Rider_Directory!$B$2:$B$26)</f>
        <v>Lalitpur</v>
      </c>
      <c r="AC189" s="30" t="str" cm="1">
        <f t="array" ref="AC189">_xlfn.IFS(Table5[[#This Row],[Final Amount]]&lt;500, "Small", Table5[[#This Row],[Final Amount]]&lt;=1000, "Medium", Table5[[#This Row],[Final Amount]]&gt;1000, "Large")</f>
        <v>Small</v>
      </c>
      <c r="AD189" s="30" t="str">
        <f>_xlfn.LET(_xlpm.expiry,_xlfn.XLOOKUP(Table5[[#This Row],[PromoCode]],Promo_Codes!$A$2:$A$9,Promo_Codes!$F$2:$F$9,DATE(2099,1,1)),IF(Table5[[#This Row],[OrderDate]]&gt;_xlpm.expiry,"Expired Code Used","Valid"))</f>
        <v>Valid</v>
      </c>
    </row>
    <row r="190" spans="1:30" x14ac:dyDescent="0.3">
      <c r="A190" s="28" t="s">
        <v>219</v>
      </c>
      <c r="B190" s="27">
        <v>45969</v>
      </c>
      <c r="C190" s="28" t="s">
        <v>220</v>
      </c>
      <c r="D190" s="28" t="s">
        <v>1171</v>
      </c>
      <c r="E190" s="27">
        <v>45904</v>
      </c>
      <c r="F190" s="27" t="str">
        <f t="shared" si="6"/>
        <v>Returning</v>
      </c>
      <c r="G190" s="28" t="s">
        <v>135</v>
      </c>
      <c r="H190" s="28" t="s">
        <v>146</v>
      </c>
      <c r="I190" s="28" t="s">
        <v>147</v>
      </c>
      <c r="J190" s="28" t="s">
        <v>222</v>
      </c>
      <c r="K190" s="29">
        <v>1</v>
      </c>
      <c r="L190" s="28" t="s">
        <v>223</v>
      </c>
      <c r="M190" s="28" t="s">
        <v>128</v>
      </c>
      <c r="N190" s="28" t="s">
        <v>182</v>
      </c>
      <c r="O190" s="28" t="s">
        <v>130</v>
      </c>
      <c r="P190" s="28" t="str">
        <f t="shared" si="7"/>
        <v/>
      </c>
      <c r="Q190" s="29">
        <v>3</v>
      </c>
      <c r="R190" s="29">
        <v>30</v>
      </c>
      <c r="S190" s="28" t="s">
        <v>224</v>
      </c>
      <c r="T190" s="30" t="str">
        <f>_xlfn.CONCAT(Table5[[#This Row],[OrderID]]," | ",Table5[[#This Row],[City]]," | ",Table5[[#This Row],[ItemName]])</f>
        <v>ORD-1186 | Kathmandu |   Cheese Cake Slice</v>
      </c>
      <c r="U190" s="30" t="str">
        <f>UPPER(Table5[[#This Row],[City]])</f>
        <v>KATHMANDU</v>
      </c>
      <c r="V190" s="30" t="str">
        <f>LOWER(Table5[[#This Row],[PaymentMethod]])</f>
        <v>esewa</v>
      </c>
      <c r="W190" s="30" cm="1">
        <f t="array" ref="W190">_xlfn.XLOOKUP(TRIM(Table5[[#This Row],[ItemName]]), TRIM(Menu_Price_List_tbl[ItemName]),Menu_Price_List_tbl[UnitPrice_NPR])</f>
        <v>250</v>
      </c>
      <c r="X190" s="31">
        <f t="shared" si="8"/>
        <v>250</v>
      </c>
      <c r="Y190" s="30">
        <f>_xlfn.XLOOKUP(Table5[[#This Row],[City]],City_Delivery_Fee_tbl[City],City_Delivery_Fee_tbl[BaseDeliveryFee_NPR])</f>
        <v>50</v>
      </c>
      <c r="Z19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37.5</v>
      </c>
      <c r="AA190" s="31">
        <f>Table5[[#This Row],[Order Amount]]+Table5[[#This Row],[Delivery Fee]]-Table5[[#This Row],[Discount Amount]]</f>
        <v>262.5</v>
      </c>
      <c r="AB190" s="30" t="str">
        <f>_xlfn.XLOOKUP(Table5[[#This Row],[RiderID]], Rider_Directory!$F$2:$F$26, Rider_Directory!$B$2:$B$26)</f>
        <v>Kathmandu</v>
      </c>
      <c r="AC190" s="30" t="str" cm="1">
        <f t="array" ref="AC190">_xlfn.IFS(Table5[[#This Row],[Final Amount]]&lt;500, "Small", Table5[[#This Row],[Final Amount]]&lt;=1000, "Medium", Table5[[#This Row],[Final Amount]]&gt;1000, "Large")</f>
        <v>Small</v>
      </c>
      <c r="AD190" s="30" t="str">
        <f>_xlfn.LET(_xlpm.expiry,_xlfn.XLOOKUP(Table5[[#This Row],[PromoCode]],Promo_Codes!$A$2:$A$9,Promo_Codes!$F$2:$F$9,DATE(2099,1,1)),IF(Table5[[#This Row],[OrderDate]]&gt;_xlpm.expiry,"Expired Code Used","Valid"))</f>
        <v>Valid</v>
      </c>
    </row>
    <row r="191" spans="1:30" x14ac:dyDescent="0.3">
      <c r="A191" s="28" t="s">
        <v>622</v>
      </c>
      <c r="B191" s="27">
        <v>45969</v>
      </c>
      <c r="C191" s="28" t="s">
        <v>813</v>
      </c>
      <c r="D191" s="28" t="s">
        <v>1241</v>
      </c>
      <c r="E191" s="27">
        <v>45880</v>
      </c>
      <c r="F191" s="27" t="str">
        <f t="shared" si="6"/>
        <v>Returning</v>
      </c>
      <c r="G191" s="28" t="s">
        <v>259</v>
      </c>
      <c r="H191" s="28" t="s">
        <v>178</v>
      </c>
      <c r="I191" s="28" t="s">
        <v>179</v>
      </c>
      <c r="J191" s="28" t="s">
        <v>406</v>
      </c>
      <c r="K191" s="29">
        <v>1</v>
      </c>
      <c r="L191" s="28" t="s">
        <v>474</v>
      </c>
      <c r="M191" s="28" t="s">
        <v>159</v>
      </c>
      <c r="N191" s="28" t="s">
        <v>129</v>
      </c>
      <c r="O191" s="28" t="s">
        <v>130</v>
      </c>
      <c r="P191" s="28" t="str">
        <f t="shared" si="7"/>
        <v/>
      </c>
      <c r="Q191" s="29">
        <v>4</v>
      </c>
      <c r="R191" s="29">
        <v>52</v>
      </c>
      <c r="S191" s="28"/>
      <c r="T191" s="30" t="str">
        <f>_xlfn.CONCAT(Table5[[#This Row],[OrderID]]," | ",Table5[[#This Row],[City]]," | ",Table5[[#This Row],[ItemName]])</f>
        <v>ORD-1187 | Dharan | chicken pizza</v>
      </c>
      <c r="U191" s="30" t="str">
        <f>UPPER(Table5[[#This Row],[City]])</f>
        <v>DHARAN</v>
      </c>
      <c r="V191" s="30" t="str">
        <f>LOWER(Table5[[#This Row],[PaymentMethod]])</f>
        <v>khalti</v>
      </c>
      <c r="W191" s="30" cm="1">
        <f t="array" ref="W191">_xlfn.XLOOKUP(TRIM(Table5[[#This Row],[ItemName]]), TRIM(Menu_Price_List_tbl[ItemName]),Menu_Price_List_tbl[UnitPrice_NPR])</f>
        <v>650</v>
      </c>
      <c r="X191" s="31">
        <f t="shared" si="8"/>
        <v>650</v>
      </c>
      <c r="Y191" s="30">
        <f>_xlfn.XLOOKUP(Table5[[#This Row],[City]],City_Delivery_Fee_tbl[City],City_Delivery_Fee_tbl[BaseDeliveryFee_NPR])</f>
        <v>95</v>
      </c>
      <c r="Z19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191" s="31">
        <f>Table5[[#This Row],[Order Amount]]+Table5[[#This Row],[Delivery Fee]]-Table5[[#This Row],[Discount Amount]]</f>
        <v>645</v>
      </c>
      <c r="AB191" s="30" t="str">
        <f>_xlfn.XLOOKUP(Table5[[#This Row],[RiderID]], Rider_Directory!$F$2:$F$26, Rider_Directory!$B$2:$B$26)</f>
        <v>Dharan</v>
      </c>
      <c r="AC191" s="30" t="str" cm="1">
        <f t="array" ref="AC191">_xlfn.IFS(Table5[[#This Row],[Final Amount]]&lt;500, "Small", Table5[[#This Row],[Final Amount]]&lt;=1000, "Medium", Table5[[#This Row],[Final Amount]]&gt;1000, "Large")</f>
        <v>Medium</v>
      </c>
      <c r="AD191" s="30" t="str">
        <f>_xlfn.LET(_xlpm.expiry,_xlfn.XLOOKUP(Table5[[#This Row],[PromoCode]],Promo_Codes!$A$2:$A$9,Promo_Codes!$F$2:$F$9,DATE(2099,1,1)),IF(Table5[[#This Row],[OrderDate]]&gt;_xlpm.expiry,"Expired Code Used","Valid"))</f>
        <v>Expired Code Used</v>
      </c>
    </row>
    <row r="192" spans="1:30" x14ac:dyDescent="0.3">
      <c r="A192" s="28" t="s">
        <v>678</v>
      </c>
      <c r="B192" s="27">
        <v>45969</v>
      </c>
      <c r="C192" s="28" t="s">
        <v>1138</v>
      </c>
      <c r="D192" s="28" t="s">
        <v>1173</v>
      </c>
      <c r="E192" s="27">
        <v>45969</v>
      </c>
      <c r="F192" s="27" t="str">
        <f t="shared" si="6"/>
        <v>New</v>
      </c>
      <c r="G192" s="28" t="s">
        <v>206</v>
      </c>
      <c r="H192" s="28" t="s">
        <v>136</v>
      </c>
      <c r="I192" s="28" t="s">
        <v>137</v>
      </c>
      <c r="J192" s="28" t="s">
        <v>680</v>
      </c>
      <c r="K192" s="29">
        <v>1</v>
      </c>
      <c r="L192" s="28" t="s">
        <v>298</v>
      </c>
      <c r="M192" s="28" t="s">
        <v>159</v>
      </c>
      <c r="N192" s="28"/>
      <c r="O192" s="28" t="s">
        <v>130</v>
      </c>
      <c r="P192" s="28" t="str">
        <f t="shared" si="7"/>
        <v/>
      </c>
      <c r="Q192" s="29">
        <v>4</v>
      </c>
      <c r="R192" s="29">
        <v>46</v>
      </c>
      <c r="S192" s="28" t="s">
        <v>302</v>
      </c>
      <c r="T192" s="30" t="str">
        <f>_xlfn.CONCAT(Table5[[#This Row],[OrderID]]," | ",Table5[[#This Row],[City]]," | ",Table5[[#This Row],[ItemName]])</f>
        <v>ORD-1188 | Pokhara |   Mutton Thakali Set</v>
      </c>
      <c r="U192" s="30" t="str">
        <f>UPPER(Table5[[#This Row],[City]])</f>
        <v>POKHARA</v>
      </c>
      <c r="V192" s="30" t="str">
        <f>LOWER(Table5[[#This Row],[PaymentMethod]])</f>
        <v>khalti</v>
      </c>
      <c r="W192" s="30" cm="1">
        <f t="array" ref="W192">_xlfn.XLOOKUP(TRIM(Table5[[#This Row],[ItemName]]), TRIM(Menu_Price_List_tbl[ItemName]),Menu_Price_List_tbl[UnitPrice_NPR])</f>
        <v>650</v>
      </c>
      <c r="X192" s="31">
        <f t="shared" si="8"/>
        <v>650</v>
      </c>
      <c r="Y192" s="30">
        <f>_xlfn.XLOOKUP(Table5[[#This Row],[City]],City_Delivery_Fee_tbl[City],City_Delivery_Fee_tbl[BaseDeliveryFee_NPR])</f>
        <v>70</v>
      </c>
      <c r="Z19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92" s="31">
        <f>Table5[[#This Row],[Order Amount]]+Table5[[#This Row],[Delivery Fee]]-Table5[[#This Row],[Discount Amount]]</f>
        <v>720</v>
      </c>
      <c r="AB192" s="30" t="str">
        <f>_xlfn.XLOOKUP(Table5[[#This Row],[RiderID]], Rider_Directory!$F$2:$F$26, Rider_Directory!$B$2:$B$26)</f>
        <v>Pokhara</v>
      </c>
      <c r="AC192" s="30" t="str" cm="1">
        <f t="array" ref="AC192">_xlfn.IFS(Table5[[#This Row],[Final Amount]]&lt;500, "Small", Table5[[#This Row],[Final Amount]]&lt;=1000, "Medium", Table5[[#This Row],[Final Amount]]&gt;1000, "Large")</f>
        <v>Medium</v>
      </c>
      <c r="AD192" s="30" t="str">
        <f>_xlfn.LET(_xlpm.expiry,_xlfn.XLOOKUP(Table5[[#This Row],[PromoCode]],Promo_Codes!$A$2:$A$9,Promo_Codes!$F$2:$F$9,DATE(2099,1,1)),IF(Table5[[#This Row],[OrderDate]]&gt;_xlpm.expiry,"Expired Code Used","Valid"))</f>
        <v>Valid</v>
      </c>
    </row>
    <row r="193" spans="1:30" x14ac:dyDescent="0.3">
      <c r="A193" s="28" t="s">
        <v>1040</v>
      </c>
      <c r="B193" s="27">
        <v>45970</v>
      </c>
      <c r="C193" s="28" t="s">
        <v>220</v>
      </c>
      <c r="D193" s="28" t="s">
        <v>1171</v>
      </c>
      <c r="E193" s="27">
        <v>45904</v>
      </c>
      <c r="F193" s="27" t="str">
        <f t="shared" si="6"/>
        <v>Returning</v>
      </c>
      <c r="G193" s="28" t="s">
        <v>135</v>
      </c>
      <c r="H193" s="28" t="s">
        <v>331</v>
      </c>
      <c r="I193" s="28" t="s">
        <v>164</v>
      </c>
      <c r="J193" s="28" t="s">
        <v>517</v>
      </c>
      <c r="K193" s="29">
        <v>2</v>
      </c>
      <c r="L193" s="28" t="s">
        <v>265</v>
      </c>
      <c r="M193" s="28" t="s">
        <v>140</v>
      </c>
      <c r="N193" s="28"/>
      <c r="O193" s="28" t="s">
        <v>130</v>
      </c>
      <c r="P193" s="28" t="str">
        <f t="shared" si="7"/>
        <v/>
      </c>
      <c r="Q193" s="28"/>
      <c r="R193" s="29">
        <v>36</v>
      </c>
      <c r="S193" s="28"/>
      <c r="T193" s="30" t="str">
        <f>_xlfn.CONCAT(Table5[[#This Row],[OrderID]]," | ",Table5[[#This Row],[City]]," | ",Table5[[#This Row],[ItemName]])</f>
        <v>ORD-1189 | Kathmandu | Mango Juice</v>
      </c>
      <c r="U193" s="30" t="str">
        <f>UPPER(Table5[[#This Row],[City]])</f>
        <v>KATHMANDU</v>
      </c>
      <c r="V193" s="30" t="str">
        <f>LOWER(Table5[[#This Row],[PaymentMethod]])</f>
        <v>cash on delivery</v>
      </c>
      <c r="W193" s="30" cm="1">
        <f t="array" ref="W193">_xlfn.XLOOKUP(TRIM(Table5[[#This Row],[ItemName]]), TRIM(Menu_Price_List_tbl[ItemName]),Menu_Price_List_tbl[UnitPrice_NPR])</f>
        <v>120</v>
      </c>
      <c r="X193" s="31">
        <f t="shared" si="8"/>
        <v>240</v>
      </c>
      <c r="Y193" s="30">
        <f>_xlfn.XLOOKUP(Table5[[#This Row],[City]],City_Delivery_Fee_tbl[City],City_Delivery_Fee_tbl[BaseDeliveryFee_NPR])</f>
        <v>50</v>
      </c>
      <c r="Z19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93" s="31">
        <f>Table5[[#This Row],[Order Amount]]+Table5[[#This Row],[Delivery Fee]]-Table5[[#This Row],[Discount Amount]]</f>
        <v>290</v>
      </c>
      <c r="AB193" s="30" t="str">
        <f>_xlfn.XLOOKUP(Table5[[#This Row],[RiderID]], Rider_Directory!$F$2:$F$26, Rider_Directory!$B$2:$B$26)</f>
        <v>Kathmandu</v>
      </c>
      <c r="AC193" s="30" t="str" cm="1">
        <f t="array" ref="AC193">_xlfn.IFS(Table5[[#This Row],[Final Amount]]&lt;500, "Small", Table5[[#This Row],[Final Amount]]&lt;=1000, "Medium", Table5[[#This Row],[Final Amount]]&gt;1000, "Large")</f>
        <v>Small</v>
      </c>
      <c r="AD193" s="30" t="str">
        <f>_xlfn.LET(_xlpm.expiry,_xlfn.XLOOKUP(Table5[[#This Row],[PromoCode]],Promo_Codes!$A$2:$A$9,Promo_Codes!$F$2:$F$9,DATE(2099,1,1)),IF(Table5[[#This Row],[OrderDate]]&gt;_xlpm.expiry,"Expired Code Used","Valid"))</f>
        <v>Valid</v>
      </c>
    </row>
    <row r="194" spans="1:30" x14ac:dyDescent="0.3">
      <c r="A194" s="28" t="s">
        <v>820</v>
      </c>
      <c r="B194" s="27">
        <v>45971</v>
      </c>
      <c r="C194" s="28" t="s">
        <v>175</v>
      </c>
      <c r="D194" s="28" t="s">
        <v>1165</v>
      </c>
      <c r="E194" s="27">
        <v>45959</v>
      </c>
      <c r="F194" s="27" t="str">
        <f t="shared" ref="F194:F257" si="9">IF(B194-E194&lt;=2,"New","Returning")</f>
        <v>Returning</v>
      </c>
      <c r="G194" s="28" t="s">
        <v>145</v>
      </c>
      <c r="H194" s="28" t="s">
        <v>171</v>
      </c>
      <c r="I194" s="28" t="s">
        <v>147</v>
      </c>
      <c r="J194" s="28" t="s">
        <v>787</v>
      </c>
      <c r="K194" s="29">
        <v>1</v>
      </c>
      <c r="L194" s="28" t="s">
        <v>307</v>
      </c>
      <c r="M194" s="28" t="s">
        <v>159</v>
      </c>
      <c r="N194" s="28" t="s">
        <v>182</v>
      </c>
      <c r="O194" s="28" t="s">
        <v>130</v>
      </c>
      <c r="P194" s="28" t="str">
        <f t="shared" ref="P194:P257" si="10">IF(O194=""," NEED REVIEW","")</f>
        <v/>
      </c>
      <c r="Q194" s="29">
        <v>2</v>
      </c>
      <c r="R194" s="29">
        <v>57</v>
      </c>
      <c r="S194" s="28"/>
      <c r="T194" s="30" t="str">
        <f>_xlfn.CONCAT(Table5[[#This Row],[OrderID]]," | ",Table5[[#This Row],[City]]," | ",Table5[[#This Row],[ItemName]])</f>
        <v>ORD-1190 | Chitwan | LADDU (5 PCS)</v>
      </c>
      <c r="U194" s="30" t="str">
        <f>UPPER(Table5[[#This Row],[City]])</f>
        <v>CHITWAN</v>
      </c>
      <c r="V194" s="30" t="str">
        <f>LOWER(Table5[[#This Row],[PaymentMethod]])</f>
        <v>khalti</v>
      </c>
      <c r="W194" s="30" cm="1">
        <f t="array" ref="W194">_xlfn.XLOOKUP(TRIM(Table5[[#This Row],[ItemName]]), TRIM(Menu_Price_List_tbl[ItemName]),Menu_Price_List_tbl[UnitPrice_NPR])</f>
        <v>180</v>
      </c>
      <c r="X194" s="31">
        <f t="shared" ref="X194:X257" si="11">W194*K194</f>
        <v>180</v>
      </c>
      <c r="Y194" s="30">
        <f>_xlfn.XLOOKUP(Table5[[#This Row],[City]],City_Delivery_Fee_tbl[City],City_Delivery_Fee_tbl[BaseDeliveryFee_NPR])</f>
        <v>80</v>
      </c>
      <c r="Z19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27</v>
      </c>
      <c r="AA194" s="31">
        <f>Table5[[#This Row],[Order Amount]]+Table5[[#This Row],[Delivery Fee]]-Table5[[#This Row],[Discount Amount]]</f>
        <v>233</v>
      </c>
      <c r="AB194" s="30" t="str">
        <f>_xlfn.XLOOKUP(Table5[[#This Row],[RiderID]], Rider_Directory!$F$2:$F$26, Rider_Directory!$B$2:$B$26)</f>
        <v>Chitwan</v>
      </c>
      <c r="AC194" s="30" t="str" cm="1">
        <f t="array" ref="AC194">_xlfn.IFS(Table5[[#This Row],[Final Amount]]&lt;500, "Small", Table5[[#This Row],[Final Amount]]&lt;=1000, "Medium", Table5[[#This Row],[Final Amount]]&gt;1000, "Large")</f>
        <v>Small</v>
      </c>
      <c r="AD194" s="30" t="str">
        <f>_xlfn.LET(_xlpm.expiry,_xlfn.XLOOKUP(Table5[[#This Row],[PromoCode]],Promo_Codes!$A$2:$A$9,Promo_Codes!$F$2:$F$9,DATE(2099,1,1)),IF(Table5[[#This Row],[OrderDate]]&gt;_xlpm.expiry,"Expired Code Used","Valid"))</f>
        <v>Valid</v>
      </c>
    </row>
    <row r="195" spans="1:30" x14ac:dyDescent="0.3">
      <c r="A195" s="28" t="s">
        <v>752</v>
      </c>
      <c r="B195" s="27">
        <v>45971</v>
      </c>
      <c r="C195" s="28" t="s">
        <v>444</v>
      </c>
      <c r="D195" s="28" t="s">
        <v>1213</v>
      </c>
      <c r="E195" s="27">
        <v>45947</v>
      </c>
      <c r="F195" s="27" t="str">
        <f t="shared" si="9"/>
        <v>Returning</v>
      </c>
      <c r="G195" s="28" t="s">
        <v>206</v>
      </c>
      <c r="H195" s="28" t="s">
        <v>124</v>
      </c>
      <c r="I195" s="28" t="s">
        <v>125</v>
      </c>
      <c r="J195" s="28" t="s">
        <v>295</v>
      </c>
      <c r="K195" s="29">
        <v>1</v>
      </c>
      <c r="L195" s="28" t="s">
        <v>298</v>
      </c>
      <c r="M195" s="28" t="s">
        <v>128</v>
      </c>
      <c r="N195" s="28" t="s">
        <v>182</v>
      </c>
      <c r="O195" s="28" t="s">
        <v>130</v>
      </c>
      <c r="P195" s="28" t="str">
        <f t="shared" si="10"/>
        <v/>
      </c>
      <c r="Q195" s="29">
        <v>5</v>
      </c>
      <c r="R195" s="29">
        <v>35</v>
      </c>
      <c r="S195" s="28" t="s">
        <v>202</v>
      </c>
      <c r="T195" s="30" t="str">
        <f>_xlfn.CONCAT(Table5[[#This Row],[OrderID]]," | ",Table5[[#This Row],[City]]," | ",Table5[[#This Row],[ItemName]])</f>
        <v>ORD-1191 | Pokhara | Sukuti Sandheko</v>
      </c>
      <c r="U195" s="30" t="str">
        <f>UPPER(Table5[[#This Row],[City]])</f>
        <v>POKHARA</v>
      </c>
      <c r="V195" s="30" t="str">
        <f>LOWER(Table5[[#This Row],[PaymentMethod]])</f>
        <v>esewa</v>
      </c>
      <c r="W195" s="30" cm="1">
        <f t="array" ref="W195">_xlfn.XLOOKUP(TRIM(Table5[[#This Row],[ItemName]]), TRIM(Menu_Price_List_tbl[ItemName]),Menu_Price_List_tbl[UnitPrice_NPR])</f>
        <v>350</v>
      </c>
      <c r="X195" s="31">
        <f t="shared" si="11"/>
        <v>350</v>
      </c>
      <c r="Y195" s="30">
        <f>_xlfn.XLOOKUP(Table5[[#This Row],[City]],City_Delivery_Fee_tbl[City],City_Delivery_Fee_tbl[BaseDeliveryFee_NPR])</f>
        <v>70</v>
      </c>
      <c r="Z19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52.5</v>
      </c>
      <c r="AA195" s="31">
        <f>Table5[[#This Row],[Order Amount]]+Table5[[#This Row],[Delivery Fee]]-Table5[[#This Row],[Discount Amount]]</f>
        <v>367.5</v>
      </c>
      <c r="AB195" s="30" t="str">
        <f>_xlfn.XLOOKUP(Table5[[#This Row],[RiderID]], Rider_Directory!$F$2:$F$26, Rider_Directory!$B$2:$B$26)</f>
        <v>Pokhara</v>
      </c>
      <c r="AC195" s="30" t="str" cm="1">
        <f t="array" ref="AC195">_xlfn.IFS(Table5[[#This Row],[Final Amount]]&lt;500, "Small", Table5[[#This Row],[Final Amount]]&lt;=1000, "Medium", Table5[[#This Row],[Final Amount]]&gt;1000, "Large")</f>
        <v>Small</v>
      </c>
      <c r="AD195" s="30" t="str">
        <f>_xlfn.LET(_xlpm.expiry,_xlfn.XLOOKUP(Table5[[#This Row],[PromoCode]],Promo_Codes!$A$2:$A$9,Promo_Codes!$F$2:$F$9,DATE(2099,1,1)),IF(Table5[[#This Row],[OrderDate]]&gt;_xlpm.expiry,"Expired Code Used","Valid"))</f>
        <v>Valid</v>
      </c>
    </row>
    <row r="196" spans="1:30" x14ac:dyDescent="0.3">
      <c r="A196" s="28" t="s">
        <v>643</v>
      </c>
      <c r="B196" s="27">
        <v>45972</v>
      </c>
      <c r="C196" s="28" t="s">
        <v>644</v>
      </c>
      <c r="D196" s="28" t="s">
        <v>1243</v>
      </c>
      <c r="E196" s="27">
        <v>45972</v>
      </c>
      <c r="F196" s="27" t="str">
        <f t="shared" si="9"/>
        <v>New</v>
      </c>
      <c r="G196" s="28" t="s">
        <v>170</v>
      </c>
      <c r="H196" s="28" t="s">
        <v>245</v>
      </c>
      <c r="I196" s="28" t="s">
        <v>233</v>
      </c>
      <c r="J196" s="28" t="s">
        <v>276</v>
      </c>
      <c r="K196" s="29">
        <v>3</v>
      </c>
      <c r="L196" s="28" t="s">
        <v>158</v>
      </c>
      <c r="M196" s="28" t="s">
        <v>159</v>
      </c>
      <c r="N196" s="28" t="s">
        <v>182</v>
      </c>
      <c r="O196" s="28" t="s">
        <v>235</v>
      </c>
      <c r="P196" s="28" t="str">
        <f t="shared" si="10"/>
        <v/>
      </c>
      <c r="Q196" s="28"/>
      <c r="R196" s="29">
        <v>42</v>
      </c>
      <c r="S196" s="28" t="s">
        <v>280</v>
      </c>
      <c r="T196" s="30" t="str">
        <f>_xlfn.CONCAT(Table5[[#This Row],[OrderID]]," | ",Table5[[#This Row],[City]]," | ",Table5[[#This Row],[ItemName]])</f>
        <v>ORD-1192 | Butwal | Chicken Momo (Steamed)</v>
      </c>
      <c r="U196" s="30" t="str">
        <f>UPPER(Table5[[#This Row],[City]])</f>
        <v>BUTWAL</v>
      </c>
      <c r="V196" s="30" t="str">
        <f>LOWER(Table5[[#This Row],[PaymentMethod]])</f>
        <v>khalti</v>
      </c>
      <c r="W196" s="30" cm="1">
        <f t="array" ref="W196">_xlfn.XLOOKUP(TRIM(Table5[[#This Row],[ItemName]]), TRIM(Menu_Price_List_tbl[ItemName]),Menu_Price_List_tbl[UnitPrice_NPR])</f>
        <v>190</v>
      </c>
      <c r="X196" s="31">
        <f t="shared" si="11"/>
        <v>570</v>
      </c>
      <c r="Y196" s="30">
        <f>_xlfn.XLOOKUP(Table5[[#This Row],[City]],City_Delivery_Fee_tbl[City],City_Delivery_Fee_tbl[BaseDeliveryFee_NPR])</f>
        <v>85</v>
      </c>
      <c r="Z19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85.5</v>
      </c>
      <c r="AA196" s="31">
        <f>Table5[[#This Row],[Order Amount]]+Table5[[#This Row],[Delivery Fee]]-Table5[[#This Row],[Discount Amount]]</f>
        <v>569.5</v>
      </c>
      <c r="AB196" s="30" t="str">
        <f>_xlfn.XLOOKUP(Table5[[#This Row],[RiderID]], Rider_Directory!$F$2:$F$26, Rider_Directory!$B$2:$B$26)</f>
        <v>Butwal</v>
      </c>
      <c r="AC196" s="30" t="str" cm="1">
        <f t="array" ref="AC196">_xlfn.IFS(Table5[[#This Row],[Final Amount]]&lt;500, "Small", Table5[[#This Row],[Final Amount]]&lt;=1000, "Medium", Table5[[#This Row],[Final Amount]]&gt;1000, "Large")</f>
        <v>Medium</v>
      </c>
      <c r="AD196" s="30" t="str">
        <f>_xlfn.LET(_xlpm.expiry,_xlfn.XLOOKUP(Table5[[#This Row],[PromoCode]],Promo_Codes!$A$2:$A$9,Promo_Codes!$F$2:$F$9,DATE(2099,1,1)),IF(Table5[[#This Row],[OrderDate]]&gt;_xlpm.expiry,"Expired Code Used","Valid"))</f>
        <v>Valid</v>
      </c>
    </row>
    <row r="197" spans="1:30" x14ac:dyDescent="0.3">
      <c r="A197" s="28" t="s">
        <v>704</v>
      </c>
      <c r="B197" s="27">
        <v>45972</v>
      </c>
      <c r="C197" s="28" t="s">
        <v>705</v>
      </c>
      <c r="D197" s="28" t="s">
        <v>1253</v>
      </c>
      <c r="E197" s="27">
        <v>45898</v>
      </c>
      <c r="F197" s="27" t="str">
        <f t="shared" si="9"/>
        <v>Returning</v>
      </c>
      <c r="G197" s="28" t="s">
        <v>135</v>
      </c>
      <c r="H197" s="28" t="s">
        <v>192</v>
      </c>
      <c r="I197" s="28" t="s">
        <v>137</v>
      </c>
      <c r="J197" s="28" t="s">
        <v>138</v>
      </c>
      <c r="K197" s="29">
        <v>3</v>
      </c>
      <c r="L197" s="28" t="s">
        <v>218</v>
      </c>
      <c r="M197" s="28" t="s">
        <v>159</v>
      </c>
      <c r="N197" s="28"/>
      <c r="O197" s="28" t="s">
        <v>130</v>
      </c>
      <c r="P197" s="28" t="str">
        <f t="shared" si="10"/>
        <v/>
      </c>
      <c r="Q197" s="28"/>
      <c r="R197" s="29">
        <v>30</v>
      </c>
      <c r="S197" s="28"/>
      <c r="T197" s="30" t="str">
        <f>_xlfn.CONCAT(Table5[[#This Row],[OrderID]]," | ",Table5[[#This Row],[City]]," | ",Table5[[#This Row],[ItemName]])</f>
        <v>ORD-1193 | Kathmandu | Chicken Thakali Set</v>
      </c>
      <c r="U197" s="30" t="str">
        <f>UPPER(Table5[[#This Row],[City]])</f>
        <v>KATHMANDU</v>
      </c>
      <c r="V197" s="30" t="str">
        <f>LOWER(Table5[[#This Row],[PaymentMethod]])</f>
        <v>khalti</v>
      </c>
      <c r="W197" s="30" cm="1">
        <f t="array" ref="W197">_xlfn.XLOOKUP(TRIM(Table5[[#This Row],[ItemName]]), TRIM(Menu_Price_List_tbl[ItemName]),Menu_Price_List_tbl[UnitPrice_NPR])</f>
        <v>480</v>
      </c>
      <c r="X197" s="31">
        <f t="shared" si="11"/>
        <v>1440</v>
      </c>
      <c r="Y197" s="30">
        <f>_xlfn.XLOOKUP(Table5[[#This Row],[City]],City_Delivery_Fee_tbl[City],City_Delivery_Fee_tbl[BaseDeliveryFee_NPR])</f>
        <v>50</v>
      </c>
      <c r="Z19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97" s="31">
        <f>Table5[[#This Row],[Order Amount]]+Table5[[#This Row],[Delivery Fee]]-Table5[[#This Row],[Discount Amount]]</f>
        <v>1490</v>
      </c>
      <c r="AB197" s="30" t="str">
        <f>_xlfn.XLOOKUP(Table5[[#This Row],[RiderID]], Rider_Directory!$F$2:$F$26, Rider_Directory!$B$2:$B$26)</f>
        <v>Kathmandu</v>
      </c>
      <c r="AC197" s="30" t="str" cm="1">
        <f t="array" ref="AC197">_xlfn.IFS(Table5[[#This Row],[Final Amount]]&lt;500, "Small", Table5[[#This Row],[Final Amount]]&lt;=1000, "Medium", Table5[[#This Row],[Final Amount]]&gt;1000, "Large")</f>
        <v>Large</v>
      </c>
      <c r="AD197" s="30" t="str">
        <f>_xlfn.LET(_xlpm.expiry,_xlfn.XLOOKUP(Table5[[#This Row],[PromoCode]],Promo_Codes!$A$2:$A$9,Promo_Codes!$F$2:$F$9,DATE(2099,1,1)),IF(Table5[[#This Row],[OrderDate]]&gt;_xlpm.expiry,"Expired Code Used","Valid"))</f>
        <v>Valid</v>
      </c>
    </row>
    <row r="198" spans="1:30" x14ac:dyDescent="0.3">
      <c r="A198" s="28" t="s">
        <v>830</v>
      </c>
      <c r="B198" s="27">
        <v>45973</v>
      </c>
      <c r="C198" s="28" t="s">
        <v>813</v>
      </c>
      <c r="D198" s="28" t="s">
        <v>1241</v>
      </c>
      <c r="E198" s="27">
        <v>45880</v>
      </c>
      <c r="F198" s="27" t="str">
        <f t="shared" si="9"/>
        <v>Returning</v>
      </c>
      <c r="G198" s="28" t="s">
        <v>170</v>
      </c>
      <c r="H198" s="28" t="s">
        <v>288</v>
      </c>
      <c r="I198" s="28" t="s">
        <v>156</v>
      </c>
      <c r="J198" s="28" t="s">
        <v>831</v>
      </c>
      <c r="K198" s="29">
        <v>2</v>
      </c>
      <c r="L198" s="28" t="s">
        <v>158</v>
      </c>
      <c r="M198" s="28" t="s">
        <v>128</v>
      </c>
      <c r="N198" s="28"/>
      <c r="O198" s="28" t="s">
        <v>130</v>
      </c>
      <c r="P198" s="28" t="str">
        <f t="shared" si="10"/>
        <v/>
      </c>
      <c r="Q198" s="29">
        <v>3</v>
      </c>
      <c r="R198" s="29">
        <v>46</v>
      </c>
      <c r="S198" s="28" t="s">
        <v>826</v>
      </c>
      <c r="T198" s="30" t="str">
        <f>_xlfn.CONCAT(Table5[[#This Row],[OrderID]]," | ",Table5[[#This Row],[City]]," | ",Table5[[#This Row],[ItemName]])</f>
        <v xml:space="preserve">ORD-1194 | Butwal | Chicken Manchurian  </v>
      </c>
      <c r="U198" s="30" t="str">
        <f>UPPER(Table5[[#This Row],[City]])</f>
        <v>BUTWAL</v>
      </c>
      <c r="V198" s="30" t="str">
        <f>LOWER(Table5[[#This Row],[PaymentMethod]])</f>
        <v>esewa</v>
      </c>
      <c r="W198" s="30" cm="1">
        <f t="array" ref="W198">_xlfn.XLOOKUP(TRIM(Table5[[#This Row],[ItemName]]), TRIM(Menu_Price_List_tbl[ItemName]),Menu_Price_List_tbl[UnitPrice_NPR])</f>
        <v>320</v>
      </c>
      <c r="X198" s="31">
        <f t="shared" si="11"/>
        <v>640</v>
      </c>
      <c r="Y198" s="30">
        <f>_xlfn.XLOOKUP(Table5[[#This Row],[City]],City_Delivery_Fee_tbl[City],City_Delivery_Fee_tbl[BaseDeliveryFee_NPR])</f>
        <v>85</v>
      </c>
      <c r="Z19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198" s="31">
        <f>Table5[[#This Row],[Order Amount]]+Table5[[#This Row],[Delivery Fee]]-Table5[[#This Row],[Discount Amount]]</f>
        <v>725</v>
      </c>
      <c r="AB198" s="30" t="str">
        <f>_xlfn.XLOOKUP(Table5[[#This Row],[RiderID]], Rider_Directory!$F$2:$F$26, Rider_Directory!$B$2:$B$26)</f>
        <v>Butwal</v>
      </c>
      <c r="AC198" s="30" t="str" cm="1">
        <f t="array" ref="AC198">_xlfn.IFS(Table5[[#This Row],[Final Amount]]&lt;500, "Small", Table5[[#This Row],[Final Amount]]&lt;=1000, "Medium", Table5[[#This Row],[Final Amount]]&gt;1000, "Large")</f>
        <v>Medium</v>
      </c>
      <c r="AD198" s="30" t="str">
        <f>_xlfn.LET(_xlpm.expiry,_xlfn.XLOOKUP(Table5[[#This Row],[PromoCode]],Promo_Codes!$A$2:$A$9,Promo_Codes!$F$2:$F$9,DATE(2099,1,1)),IF(Table5[[#This Row],[OrderDate]]&gt;_xlpm.expiry,"Expired Code Used","Valid"))</f>
        <v>Valid</v>
      </c>
    </row>
    <row r="199" spans="1:30" x14ac:dyDescent="0.3">
      <c r="A199" s="28" t="s">
        <v>898</v>
      </c>
      <c r="B199" s="27">
        <v>45973</v>
      </c>
      <c r="C199" s="28" t="s">
        <v>872</v>
      </c>
      <c r="D199" s="28" t="s">
        <v>1225</v>
      </c>
      <c r="E199" s="27">
        <v>45891</v>
      </c>
      <c r="F199" s="27" t="str">
        <f t="shared" si="9"/>
        <v>Returning</v>
      </c>
      <c r="G199" s="28" t="s">
        <v>198</v>
      </c>
      <c r="H199" s="28" t="s">
        <v>350</v>
      </c>
      <c r="I199" s="28" t="s">
        <v>351</v>
      </c>
      <c r="J199" s="28" t="s">
        <v>638</v>
      </c>
      <c r="K199" s="29">
        <v>1</v>
      </c>
      <c r="L199" s="28" t="s">
        <v>213</v>
      </c>
      <c r="M199" s="28" t="s">
        <v>140</v>
      </c>
      <c r="N199" s="28" t="s">
        <v>518</v>
      </c>
      <c r="O199" s="28" t="s">
        <v>130</v>
      </c>
      <c r="P199" s="28" t="str">
        <f t="shared" si="10"/>
        <v/>
      </c>
      <c r="Q199" s="29">
        <v>4</v>
      </c>
      <c r="R199" s="29">
        <v>30</v>
      </c>
      <c r="S199" s="28" t="s">
        <v>131</v>
      </c>
      <c r="T199" s="30" t="str">
        <f>_xlfn.CONCAT(Table5[[#This Row],[OrderID]]," | ",Table5[[#This Row],[City]]," | ",Table5[[#This Row],[ItemName]])</f>
        <v>ORD-1195 | Lalitpur | Chicken Sekuwa</v>
      </c>
      <c r="U199" s="30" t="str">
        <f>UPPER(Table5[[#This Row],[City]])</f>
        <v>LALITPUR</v>
      </c>
      <c r="V199" s="30" t="str">
        <f>LOWER(Table5[[#This Row],[PaymentMethod]])</f>
        <v>cash on delivery</v>
      </c>
      <c r="W199" s="30" cm="1">
        <f t="array" ref="W199">_xlfn.XLOOKUP(TRIM(Table5[[#This Row],[ItemName]]), TRIM(Menu_Price_List_tbl[ItemName]),Menu_Price_List_tbl[UnitPrice_NPR])</f>
        <v>420</v>
      </c>
      <c r="X199" s="31">
        <f t="shared" si="11"/>
        <v>420</v>
      </c>
      <c r="Y199" s="30">
        <f>_xlfn.XLOOKUP(Table5[[#This Row],[City]],City_Delivery_Fee_tbl[City],City_Delivery_Fee_tbl[BaseDeliveryFee_NPR])</f>
        <v>50</v>
      </c>
      <c r="Z19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199" s="31">
        <f>Table5[[#This Row],[Order Amount]]+Table5[[#This Row],[Delivery Fee]]-Table5[[#This Row],[Discount Amount]]</f>
        <v>370</v>
      </c>
      <c r="AB199" s="30" t="str">
        <f>_xlfn.XLOOKUP(Table5[[#This Row],[RiderID]], Rider_Directory!$F$2:$F$26, Rider_Directory!$B$2:$B$26)</f>
        <v>Lalitpur</v>
      </c>
      <c r="AC199" s="30" t="str" cm="1">
        <f t="array" ref="AC199">_xlfn.IFS(Table5[[#This Row],[Final Amount]]&lt;500, "Small", Table5[[#This Row],[Final Amount]]&lt;=1000, "Medium", Table5[[#This Row],[Final Amount]]&gt;1000, "Large")</f>
        <v>Small</v>
      </c>
      <c r="AD199" s="30" t="str">
        <f>_xlfn.LET(_xlpm.expiry,_xlfn.XLOOKUP(Table5[[#This Row],[PromoCode]],Promo_Codes!$A$2:$A$9,Promo_Codes!$F$2:$F$9,DATE(2099,1,1)),IF(Table5[[#This Row],[OrderDate]]&gt;_xlpm.expiry,"Expired Code Used","Valid"))</f>
        <v>Valid</v>
      </c>
    </row>
    <row r="200" spans="1:30" x14ac:dyDescent="0.3">
      <c r="A200" s="28" t="s">
        <v>625</v>
      </c>
      <c r="B200" s="27">
        <v>45973</v>
      </c>
      <c r="C200" s="28" t="s">
        <v>626</v>
      </c>
      <c r="D200" s="28" t="s">
        <v>1181</v>
      </c>
      <c r="E200" s="27">
        <v>45873</v>
      </c>
      <c r="F200" s="27" t="str">
        <f t="shared" si="9"/>
        <v>Returning</v>
      </c>
      <c r="G200" s="28" t="s">
        <v>135</v>
      </c>
      <c r="H200" s="28" t="s">
        <v>178</v>
      </c>
      <c r="I200" s="28" t="s">
        <v>179</v>
      </c>
      <c r="J200" s="28" t="s">
        <v>180</v>
      </c>
      <c r="K200" s="29">
        <v>2</v>
      </c>
      <c r="L200" s="28" t="s">
        <v>223</v>
      </c>
      <c r="M200" s="28" t="s">
        <v>159</v>
      </c>
      <c r="N200" s="28"/>
      <c r="O200" s="28" t="s">
        <v>130</v>
      </c>
      <c r="P200" s="28" t="str">
        <f t="shared" si="10"/>
        <v/>
      </c>
      <c r="Q200" s="29">
        <v>4</v>
      </c>
      <c r="R200" s="29">
        <v>34</v>
      </c>
      <c r="S200" s="28"/>
      <c r="T200" s="30" t="str">
        <f>_xlfn.CONCAT(Table5[[#This Row],[OrderID]]," | ",Table5[[#This Row],[City]]," | ",Table5[[#This Row],[ItemName]])</f>
        <v>ORD-1196 | Kathmandu | Veg Fried Rice</v>
      </c>
      <c r="U200" s="30" t="str">
        <f>UPPER(Table5[[#This Row],[City]])</f>
        <v>KATHMANDU</v>
      </c>
      <c r="V200" s="30" t="str">
        <f>LOWER(Table5[[#This Row],[PaymentMethod]])</f>
        <v>khalti</v>
      </c>
      <c r="W200" s="30" cm="1">
        <f t="array" ref="W200">_xlfn.XLOOKUP(TRIM(Table5[[#This Row],[ItemName]]), TRIM(Menu_Price_List_tbl[ItemName]),Menu_Price_List_tbl[UnitPrice_NPR])</f>
        <v>220</v>
      </c>
      <c r="X200" s="31">
        <f t="shared" si="11"/>
        <v>440</v>
      </c>
      <c r="Y200" s="30">
        <f>_xlfn.XLOOKUP(Table5[[#This Row],[City]],City_Delivery_Fee_tbl[City],City_Delivery_Fee_tbl[BaseDeliveryFee_NPR])</f>
        <v>50</v>
      </c>
      <c r="Z20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00" s="31">
        <f>Table5[[#This Row],[Order Amount]]+Table5[[#This Row],[Delivery Fee]]-Table5[[#This Row],[Discount Amount]]</f>
        <v>490</v>
      </c>
      <c r="AB200" s="30" t="str">
        <f>_xlfn.XLOOKUP(Table5[[#This Row],[RiderID]], Rider_Directory!$F$2:$F$26, Rider_Directory!$B$2:$B$26)</f>
        <v>Kathmandu</v>
      </c>
      <c r="AC200" s="30" t="str" cm="1">
        <f t="array" ref="AC200">_xlfn.IFS(Table5[[#This Row],[Final Amount]]&lt;500, "Small", Table5[[#This Row],[Final Amount]]&lt;=1000, "Medium", Table5[[#This Row],[Final Amount]]&gt;1000, "Large")</f>
        <v>Small</v>
      </c>
      <c r="AD200" s="30" t="str">
        <f>_xlfn.LET(_xlpm.expiry,_xlfn.XLOOKUP(Table5[[#This Row],[PromoCode]],Promo_Codes!$A$2:$A$9,Promo_Codes!$F$2:$F$9,DATE(2099,1,1)),IF(Table5[[#This Row],[OrderDate]]&gt;_xlpm.expiry,"Expired Code Used","Valid"))</f>
        <v>Valid</v>
      </c>
    </row>
    <row r="201" spans="1:30" x14ac:dyDescent="0.3">
      <c r="A201" s="28" t="s">
        <v>601</v>
      </c>
      <c r="B201" s="27">
        <v>45974</v>
      </c>
      <c r="C201" s="28" t="s">
        <v>1129</v>
      </c>
      <c r="D201" s="28" t="s">
        <v>1215</v>
      </c>
      <c r="E201" s="27">
        <v>45966</v>
      </c>
      <c r="F201" s="27" t="str">
        <f t="shared" si="9"/>
        <v>Returning</v>
      </c>
      <c r="G201" s="28" t="s">
        <v>198</v>
      </c>
      <c r="H201" s="28" t="s">
        <v>232</v>
      </c>
      <c r="I201" s="28" t="s">
        <v>233</v>
      </c>
      <c r="J201" s="28" t="s">
        <v>234</v>
      </c>
      <c r="K201" s="29">
        <v>2</v>
      </c>
      <c r="L201" s="28" t="s">
        <v>201</v>
      </c>
      <c r="M201" s="28" t="s">
        <v>159</v>
      </c>
      <c r="N201" s="28" t="s">
        <v>255</v>
      </c>
      <c r="O201" s="28" t="s">
        <v>130</v>
      </c>
      <c r="P201" s="28" t="str">
        <f t="shared" si="10"/>
        <v/>
      </c>
      <c r="Q201" s="29">
        <v>5</v>
      </c>
      <c r="R201" s="29">
        <v>34</v>
      </c>
      <c r="S201" s="28" t="s">
        <v>291</v>
      </c>
      <c r="T201" s="30" t="str">
        <f>_xlfn.CONCAT(Table5[[#This Row],[OrderID]]," | ",Table5[[#This Row],[City]]," | ",Table5[[#This Row],[ItemName]])</f>
        <v>ORD-1197 | Lalitpur | Buff Momo (Steamed)</v>
      </c>
      <c r="U201" s="30" t="str">
        <f>UPPER(Table5[[#This Row],[City]])</f>
        <v>LALITPUR</v>
      </c>
      <c r="V201" s="30" t="str">
        <f>LOWER(Table5[[#This Row],[PaymentMethod]])</f>
        <v>khalti</v>
      </c>
      <c r="W201" s="30" cm="1">
        <f t="array" ref="W201">_xlfn.XLOOKUP(TRIM(Table5[[#This Row],[ItemName]]), TRIM(Menu_Price_List_tbl[ItemName]),Menu_Price_List_tbl[UnitPrice_NPR])</f>
        <v>170</v>
      </c>
      <c r="X201" s="31">
        <f t="shared" si="11"/>
        <v>340</v>
      </c>
      <c r="Y201" s="30">
        <f>_xlfn.XLOOKUP(Table5[[#This Row],[City]],City_Delivery_Fee_tbl[City],City_Delivery_Fee_tbl[BaseDeliveryFee_NPR])</f>
        <v>50</v>
      </c>
      <c r="Z20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34</v>
      </c>
      <c r="AA201" s="31">
        <f>Table5[[#This Row],[Order Amount]]+Table5[[#This Row],[Delivery Fee]]-Table5[[#This Row],[Discount Amount]]</f>
        <v>356</v>
      </c>
      <c r="AB201" s="30" t="str">
        <f>_xlfn.XLOOKUP(Table5[[#This Row],[RiderID]], Rider_Directory!$F$2:$F$26, Rider_Directory!$B$2:$B$26)</f>
        <v>Lalitpur</v>
      </c>
      <c r="AC201" s="30" t="str" cm="1">
        <f t="array" ref="AC201">_xlfn.IFS(Table5[[#This Row],[Final Amount]]&lt;500, "Small", Table5[[#This Row],[Final Amount]]&lt;=1000, "Medium", Table5[[#This Row],[Final Amount]]&gt;1000, "Large")</f>
        <v>Small</v>
      </c>
      <c r="AD201" s="30" t="str">
        <f>_xlfn.LET(_xlpm.expiry,_xlfn.XLOOKUP(Table5[[#This Row],[PromoCode]],Promo_Codes!$A$2:$A$9,Promo_Codes!$F$2:$F$9,DATE(2099,1,1)),IF(Table5[[#This Row],[OrderDate]]&gt;_xlpm.expiry,"Expired Code Used","Valid"))</f>
        <v>Valid</v>
      </c>
    </row>
    <row r="202" spans="1:30" x14ac:dyDescent="0.3">
      <c r="A202" s="28" t="s">
        <v>596</v>
      </c>
      <c r="B202" s="27">
        <v>45976</v>
      </c>
      <c r="C202" s="28" t="s">
        <v>597</v>
      </c>
      <c r="D202" s="28" t="s">
        <v>1236</v>
      </c>
      <c r="E202" s="27">
        <v>45904</v>
      </c>
      <c r="F202" s="27" t="str">
        <f t="shared" si="9"/>
        <v>Returning</v>
      </c>
      <c r="G202" s="28" t="s">
        <v>206</v>
      </c>
      <c r="H202" s="28" t="s">
        <v>538</v>
      </c>
      <c r="I202" s="28" t="s">
        <v>351</v>
      </c>
      <c r="J202" s="28" t="s">
        <v>352</v>
      </c>
      <c r="K202" s="29">
        <v>2</v>
      </c>
      <c r="L202" s="28" t="s">
        <v>353</v>
      </c>
      <c r="M202" s="28" t="s">
        <v>247</v>
      </c>
      <c r="N202" s="28"/>
      <c r="O202" s="28"/>
      <c r="P202" s="28" t="str">
        <f t="shared" si="10"/>
        <v xml:space="preserve"> NEED REVIEW</v>
      </c>
      <c r="Q202" s="29">
        <v>5</v>
      </c>
      <c r="R202" s="29">
        <v>33</v>
      </c>
      <c r="S202" s="28" t="s">
        <v>291</v>
      </c>
      <c r="T202" s="30" t="str">
        <f>_xlfn.CONCAT(Table5[[#This Row],[OrderID]]," | ",Table5[[#This Row],[City]]," | ",Table5[[#This Row],[ItemName]])</f>
        <v>ORD-1198 | Pokhara | Buff Sekuwa</v>
      </c>
      <c r="U202" s="30" t="str">
        <f>UPPER(Table5[[#This Row],[City]])</f>
        <v>POKHARA</v>
      </c>
      <c r="V202" s="30" t="str">
        <f>LOWER(Table5[[#This Row],[PaymentMethod]])</f>
        <v>ime pay</v>
      </c>
      <c r="W202" s="30" cm="1">
        <f t="array" ref="W202">_xlfn.XLOOKUP(TRIM(Table5[[#This Row],[ItemName]]), TRIM(Menu_Price_List_tbl[ItemName]),Menu_Price_List_tbl[UnitPrice_NPR])</f>
        <v>380</v>
      </c>
      <c r="X202" s="31">
        <f t="shared" si="11"/>
        <v>760</v>
      </c>
      <c r="Y202" s="30">
        <f>_xlfn.XLOOKUP(Table5[[#This Row],[City]],City_Delivery_Fee_tbl[City],City_Delivery_Fee_tbl[BaseDeliveryFee_NPR])</f>
        <v>70</v>
      </c>
      <c r="Z20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02" s="31">
        <f>Table5[[#This Row],[Order Amount]]+Table5[[#This Row],[Delivery Fee]]-Table5[[#This Row],[Discount Amount]]</f>
        <v>830</v>
      </c>
      <c r="AB202" s="30" t="str">
        <f>_xlfn.XLOOKUP(Table5[[#This Row],[RiderID]], Rider_Directory!$F$2:$F$26, Rider_Directory!$B$2:$B$26)</f>
        <v>Pokhara</v>
      </c>
      <c r="AC202" s="30" t="str" cm="1">
        <f t="array" ref="AC202">_xlfn.IFS(Table5[[#This Row],[Final Amount]]&lt;500, "Small", Table5[[#This Row],[Final Amount]]&lt;=1000, "Medium", Table5[[#This Row],[Final Amount]]&gt;1000, "Large")</f>
        <v>Medium</v>
      </c>
      <c r="AD202" s="30" t="str">
        <f>_xlfn.LET(_xlpm.expiry,_xlfn.XLOOKUP(Table5[[#This Row],[PromoCode]],Promo_Codes!$A$2:$A$9,Promo_Codes!$F$2:$F$9,DATE(2099,1,1)),IF(Table5[[#This Row],[OrderDate]]&gt;_xlpm.expiry,"Expired Code Used","Valid"))</f>
        <v>Valid</v>
      </c>
    </row>
    <row r="203" spans="1:30" x14ac:dyDescent="0.3">
      <c r="A203" s="28" t="s">
        <v>519</v>
      </c>
      <c r="B203" s="27">
        <v>45978</v>
      </c>
      <c r="C203" s="28" t="s">
        <v>1130</v>
      </c>
      <c r="D203" s="28" t="s">
        <v>1217</v>
      </c>
      <c r="E203" s="27">
        <v>45944</v>
      </c>
      <c r="F203" s="27" t="str">
        <f t="shared" si="9"/>
        <v>Returning</v>
      </c>
      <c r="G203" s="28" t="s">
        <v>135</v>
      </c>
      <c r="H203" s="28" t="s">
        <v>331</v>
      </c>
      <c r="I203" s="28" t="s">
        <v>164</v>
      </c>
      <c r="J203" s="28" t="s">
        <v>521</v>
      </c>
      <c r="K203" s="29">
        <v>2</v>
      </c>
      <c r="L203" s="28" t="s">
        <v>218</v>
      </c>
      <c r="M203" s="28" t="s">
        <v>278</v>
      </c>
      <c r="N203" s="28"/>
      <c r="O203" s="28" t="s">
        <v>130</v>
      </c>
      <c r="P203" s="28" t="str">
        <f t="shared" si="10"/>
        <v/>
      </c>
      <c r="Q203" s="29">
        <v>5</v>
      </c>
      <c r="R203" s="29">
        <v>29</v>
      </c>
      <c r="S203" s="28"/>
      <c r="T203" s="30" t="str">
        <f>_xlfn.CONCAT(Table5[[#This Row],[OrderID]]," | ",Table5[[#This Row],[City]]," | ",Table5[[#This Row],[ItemName]])</f>
        <v>ORD-1199 | Kathmandu | Lassi</v>
      </c>
      <c r="U203" s="30" t="str">
        <f>UPPER(Table5[[#This Row],[City]])</f>
        <v>KATHMANDU</v>
      </c>
      <c r="V203" s="30" t="str">
        <f>LOWER(Table5[[#This Row],[PaymentMethod]])</f>
        <v>connectips</v>
      </c>
      <c r="W203" s="30" cm="1">
        <f t="array" ref="W203">_xlfn.XLOOKUP(TRIM(Table5[[#This Row],[ItemName]]), TRIM(Menu_Price_List_tbl[ItemName]),Menu_Price_List_tbl[UnitPrice_NPR])</f>
        <v>130</v>
      </c>
      <c r="X203" s="31">
        <f t="shared" si="11"/>
        <v>260</v>
      </c>
      <c r="Y203" s="30">
        <f>_xlfn.XLOOKUP(Table5[[#This Row],[City]],City_Delivery_Fee_tbl[City],City_Delivery_Fee_tbl[BaseDeliveryFee_NPR])</f>
        <v>50</v>
      </c>
      <c r="Z20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03" s="31">
        <f>Table5[[#This Row],[Order Amount]]+Table5[[#This Row],[Delivery Fee]]-Table5[[#This Row],[Discount Amount]]</f>
        <v>310</v>
      </c>
      <c r="AB203" s="30" t="str">
        <f>_xlfn.XLOOKUP(Table5[[#This Row],[RiderID]], Rider_Directory!$F$2:$F$26, Rider_Directory!$B$2:$B$26)</f>
        <v>Kathmandu</v>
      </c>
      <c r="AC203" s="30" t="str" cm="1">
        <f t="array" ref="AC203">_xlfn.IFS(Table5[[#This Row],[Final Amount]]&lt;500, "Small", Table5[[#This Row],[Final Amount]]&lt;=1000, "Medium", Table5[[#This Row],[Final Amount]]&gt;1000, "Large")</f>
        <v>Small</v>
      </c>
      <c r="AD203" s="30" t="str">
        <f>_xlfn.LET(_xlpm.expiry,_xlfn.XLOOKUP(Table5[[#This Row],[PromoCode]],Promo_Codes!$A$2:$A$9,Promo_Codes!$F$2:$F$9,DATE(2099,1,1)),IF(Table5[[#This Row],[OrderDate]]&gt;_xlpm.expiry,"Expired Code Used","Valid"))</f>
        <v>Valid</v>
      </c>
    </row>
    <row r="204" spans="1:30" x14ac:dyDescent="0.3">
      <c r="A204" s="28" t="s">
        <v>661</v>
      </c>
      <c r="B204" s="27">
        <v>45979</v>
      </c>
      <c r="C204" s="28" t="s">
        <v>662</v>
      </c>
      <c r="D204" s="28" t="s">
        <v>1246</v>
      </c>
      <c r="E204" s="27">
        <v>45948</v>
      </c>
      <c r="F204" s="27" t="str">
        <f t="shared" si="9"/>
        <v>Returning</v>
      </c>
      <c r="G204" s="28" t="s">
        <v>123</v>
      </c>
      <c r="H204" s="28" t="s">
        <v>331</v>
      </c>
      <c r="I204" s="28" t="s">
        <v>164</v>
      </c>
      <c r="J204" s="28" t="s">
        <v>521</v>
      </c>
      <c r="K204" s="29">
        <v>1</v>
      </c>
      <c r="L204" s="28" t="s">
        <v>290</v>
      </c>
      <c r="M204" s="28" t="s">
        <v>140</v>
      </c>
      <c r="N204" s="28"/>
      <c r="O204" s="28" t="s">
        <v>130</v>
      </c>
      <c r="P204" s="28" t="str">
        <f t="shared" si="10"/>
        <v/>
      </c>
      <c r="Q204" s="29">
        <v>2</v>
      </c>
      <c r="R204" s="29">
        <v>59</v>
      </c>
      <c r="S204" s="28"/>
      <c r="T204" s="30" t="str">
        <f>_xlfn.CONCAT(Table5[[#This Row],[OrderID]]," | ",Table5[[#This Row],[City]]," | ",Table5[[#This Row],[ItemName]])</f>
        <v>ORD-1200 | Biratnagar | Lassi</v>
      </c>
      <c r="U204" s="30" t="str">
        <f>UPPER(Table5[[#This Row],[City]])</f>
        <v>BIRATNAGAR</v>
      </c>
      <c r="V204" s="30" t="str">
        <f>LOWER(Table5[[#This Row],[PaymentMethod]])</f>
        <v>cash on delivery</v>
      </c>
      <c r="W204" s="30" cm="1">
        <f t="array" ref="W204">_xlfn.XLOOKUP(TRIM(Table5[[#This Row],[ItemName]]), TRIM(Menu_Price_List_tbl[ItemName]),Menu_Price_List_tbl[UnitPrice_NPR])</f>
        <v>130</v>
      </c>
      <c r="X204" s="31">
        <f t="shared" si="11"/>
        <v>130</v>
      </c>
      <c r="Y204" s="30">
        <f>_xlfn.XLOOKUP(Table5[[#This Row],[City]],City_Delivery_Fee_tbl[City],City_Delivery_Fee_tbl[BaseDeliveryFee_NPR])</f>
        <v>90</v>
      </c>
      <c r="Z20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04" s="31">
        <f>Table5[[#This Row],[Order Amount]]+Table5[[#This Row],[Delivery Fee]]-Table5[[#This Row],[Discount Amount]]</f>
        <v>220</v>
      </c>
      <c r="AB204" s="30" t="str">
        <f>_xlfn.XLOOKUP(Table5[[#This Row],[RiderID]], Rider_Directory!$F$2:$F$26, Rider_Directory!$B$2:$B$26)</f>
        <v>Biratnagar</v>
      </c>
      <c r="AC204" s="30" t="str" cm="1">
        <f t="array" ref="AC204">_xlfn.IFS(Table5[[#This Row],[Final Amount]]&lt;500, "Small", Table5[[#This Row],[Final Amount]]&lt;=1000, "Medium", Table5[[#This Row],[Final Amount]]&gt;1000, "Large")</f>
        <v>Small</v>
      </c>
      <c r="AD204" s="30" t="str">
        <f>_xlfn.LET(_xlpm.expiry,_xlfn.XLOOKUP(Table5[[#This Row],[PromoCode]],Promo_Codes!$A$2:$A$9,Promo_Codes!$F$2:$F$9,DATE(2099,1,1)),IF(Table5[[#This Row],[OrderDate]]&gt;_xlpm.expiry,"Expired Code Used","Valid"))</f>
        <v>Valid</v>
      </c>
    </row>
    <row r="205" spans="1:30" x14ac:dyDescent="0.3">
      <c r="A205" s="28" t="s">
        <v>369</v>
      </c>
      <c r="B205" s="27">
        <v>45979</v>
      </c>
      <c r="C205" s="28" t="s">
        <v>458</v>
      </c>
      <c r="D205" s="28" t="s">
        <v>1196</v>
      </c>
      <c r="E205" s="27">
        <v>45871</v>
      </c>
      <c r="F205" s="27" t="str">
        <f t="shared" si="9"/>
        <v>Returning</v>
      </c>
      <c r="G205" s="28" t="s">
        <v>206</v>
      </c>
      <c r="H205" s="28" t="s">
        <v>163</v>
      </c>
      <c r="I205" s="28" t="s">
        <v>164</v>
      </c>
      <c r="J205" s="28" t="s">
        <v>372</v>
      </c>
      <c r="K205" s="29">
        <v>1</v>
      </c>
      <c r="L205" s="28" t="s">
        <v>358</v>
      </c>
      <c r="M205" s="28" t="s">
        <v>128</v>
      </c>
      <c r="N205" s="28" t="s">
        <v>240</v>
      </c>
      <c r="O205" s="28" t="s">
        <v>130</v>
      </c>
      <c r="P205" s="28" t="str">
        <f t="shared" si="10"/>
        <v/>
      </c>
      <c r="Q205" s="29">
        <v>5</v>
      </c>
      <c r="R205" s="29">
        <v>29</v>
      </c>
      <c r="S205" s="28" t="s">
        <v>302</v>
      </c>
      <c r="T205" s="30" t="str">
        <f>_xlfn.CONCAT(Table5[[#This Row],[OrderID]]," | ",Table5[[#This Row],[City]]," | ",Table5[[#This Row],[ItemName]])</f>
        <v>ORD-1201 | Pokhara | Black Coffee</v>
      </c>
      <c r="U205" s="30" t="str">
        <f>UPPER(Table5[[#This Row],[City]])</f>
        <v>POKHARA</v>
      </c>
      <c r="V205" s="30" t="str">
        <f>LOWER(Table5[[#This Row],[PaymentMethod]])</f>
        <v>esewa</v>
      </c>
      <c r="W205" s="30" cm="1">
        <f t="array" ref="W205">_xlfn.XLOOKUP(TRIM(Table5[[#This Row],[ItemName]]), TRIM(Menu_Price_List_tbl[ItemName]),Menu_Price_List_tbl[UnitPrice_NPR])</f>
        <v>90</v>
      </c>
      <c r="X205" s="31">
        <f t="shared" si="11"/>
        <v>90</v>
      </c>
      <c r="Y205" s="30">
        <f>_xlfn.XLOOKUP(Table5[[#This Row],[City]],City_Delivery_Fee_tbl[City],City_Delivery_Fee_tbl[BaseDeliveryFee_NPR])</f>
        <v>70</v>
      </c>
      <c r="Z20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18</v>
      </c>
      <c r="AA205" s="31">
        <f>Table5[[#This Row],[Order Amount]]+Table5[[#This Row],[Delivery Fee]]-Table5[[#This Row],[Discount Amount]]</f>
        <v>142</v>
      </c>
      <c r="AB205" s="30" t="str">
        <f>_xlfn.XLOOKUP(Table5[[#This Row],[RiderID]], Rider_Directory!$F$2:$F$26, Rider_Directory!$B$2:$B$26)</f>
        <v>Pokhara</v>
      </c>
      <c r="AC205" s="30" t="str" cm="1">
        <f t="array" ref="AC205">_xlfn.IFS(Table5[[#This Row],[Final Amount]]&lt;500, "Small", Table5[[#This Row],[Final Amount]]&lt;=1000, "Medium", Table5[[#This Row],[Final Amount]]&gt;1000, "Large")</f>
        <v>Small</v>
      </c>
      <c r="AD205" s="30" t="str">
        <f>_xlfn.LET(_xlpm.expiry,_xlfn.XLOOKUP(Table5[[#This Row],[PromoCode]],Promo_Codes!$A$2:$A$9,Promo_Codes!$F$2:$F$9,DATE(2099,1,1)),IF(Table5[[#This Row],[OrderDate]]&gt;_xlpm.expiry,"Expired Code Used","Valid"))</f>
        <v>Valid</v>
      </c>
    </row>
    <row r="206" spans="1:30" x14ac:dyDescent="0.3">
      <c r="A206" s="28" t="s">
        <v>850</v>
      </c>
      <c r="B206" s="27">
        <v>45980</v>
      </c>
      <c r="C206" s="28" t="s">
        <v>282</v>
      </c>
      <c r="D206" s="28" t="s">
        <v>1183</v>
      </c>
      <c r="E206" s="27">
        <v>45916</v>
      </c>
      <c r="F206" s="27" t="str">
        <f t="shared" si="9"/>
        <v>Returning</v>
      </c>
      <c r="G206" s="28" t="s">
        <v>198</v>
      </c>
      <c r="H206" s="28" t="s">
        <v>124</v>
      </c>
      <c r="I206" s="28" t="s">
        <v>125</v>
      </c>
      <c r="J206" s="28" t="s">
        <v>295</v>
      </c>
      <c r="K206" s="29">
        <v>2</v>
      </c>
      <c r="L206" s="28" t="s">
        <v>251</v>
      </c>
      <c r="M206" s="28" t="s">
        <v>140</v>
      </c>
      <c r="N206" s="28"/>
      <c r="O206" s="28" t="s">
        <v>279</v>
      </c>
      <c r="P206" s="28" t="str">
        <f t="shared" si="10"/>
        <v/>
      </c>
      <c r="Q206" s="28"/>
      <c r="R206" s="29">
        <v>29</v>
      </c>
      <c r="S206" s="28" t="s">
        <v>280</v>
      </c>
      <c r="T206" s="30" t="str">
        <f>_xlfn.CONCAT(Table5[[#This Row],[OrderID]]," | ",Table5[[#This Row],[City]]," | ",Table5[[#This Row],[ItemName]])</f>
        <v>ORD-1202 | Lalitpur | Sukuti Sandheko</v>
      </c>
      <c r="U206" s="30" t="str">
        <f>UPPER(Table5[[#This Row],[City]])</f>
        <v>LALITPUR</v>
      </c>
      <c r="V206" s="30" t="str">
        <f>LOWER(Table5[[#This Row],[PaymentMethod]])</f>
        <v>cash on delivery</v>
      </c>
      <c r="W206" s="30" cm="1">
        <f t="array" ref="W206">_xlfn.XLOOKUP(TRIM(Table5[[#This Row],[ItemName]]), TRIM(Menu_Price_List_tbl[ItemName]),Menu_Price_List_tbl[UnitPrice_NPR])</f>
        <v>350</v>
      </c>
      <c r="X206" s="31">
        <f t="shared" si="11"/>
        <v>700</v>
      </c>
      <c r="Y206" s="30">
        <f>_xlfn.XLOOKUP(Table5[[#This Row],[City]],City_Delivery_Fee_tbl[City],City_Delivery_Fee_tbl[BaseDeliveryFee_NPR])</f>
        <v>50</v>
      </c>
      <c r="Z20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06" s="31">
        <f>Table5[[#This Row],[Order Amount]]+Table5[[#This Row],[Delivery Fee]]-Table5[[#This Row],[Discount Amount]]</f>
        <v>750</v>
      </c>
      <c r="AB206" s="30" t="str">
        <f>_xlfn.XLOOKUP(Table5[[#This Row],[RiderID]], Rider_Directory!$F$2:$F$26, Rider_Directory!$B$2:$B$26)</f>
        <v>Lalitpur</v>
      </c>
      <c r="AC206" s="30" t="str" cm="1">
        <f t="array" ref="AC206">_xlfn.IFS(Table5[[#This Row],[Final Amount]]&lt;500, "Small", Table5[[#This Row],[Final Amount]]&lt;=1000, "Medium", Table5[[#This Row],[Final Amount]]&gt;1000, "Large")</f>
        <v>Medium</v>
      </c>
      <c r="AD206" s="30" t="str">
        <f>_xlfn.LET(_xlpm.expiry,_xlfn.XLOOKUP(Table5[[#This Row],[PromoCode]],Promo_Codes!$A$2:$A$9,Promo_Codes!$F$2:$F$9,DATE(2099,1,1)),IF(Table5[[#This Row],[OrderDate]]&gt;_xlpm.expiry,"Expired Code Used","Valid"))</f>
        <v>Valid</v>
      </c>
    </row>
    <row r="207" spans="1:30" x14ac:dyDescent="0.3">
      <c r="A207" s="28" t="s">
        <v>1036</v>
      </c>
      <c r="B207" s="27">
        <v>45980</v>
      </c>
      <c r="C207" s="28" t="s">
        <v>610</v>
      </c>
      <c r="D207" s="28" t="s">
        <v>1238</v>
      </c>
      <c r="E207" s="27">
        <v>45916</v>
      </c>
      <c r="F207" s="27" t="str">
        <f t="shared" si="9"/>
        <v>Returning</v>
      </c>
      <c r="G207" s="28" t="s">
        <v>135</v>
      </c>
      <c r="H207" s="28" t="s">
        <v>339</v>
      </c>
      <c r="I207" s="28" t="s">
        <v>233</v>
      </c>
      <c r="J207" s="28" t="s">
        <v>1037</v>
      </c>
      <c r="K207" s="29">
        <v>2</v>
      </c>
      <c r="L207" s="28" t="s">
        <v>187</v>
      </c>
      <c r="M207" s="28" t="s">
        <v>159</v>
      </c>
      <c r="N207" s="28"/>
      <c r="O207" s="28" t="s">
        <v>130</v>
      </c>
      <c r="P207" s="28" t="str">
        <f t="shared" si="10"/>
        <v/>
      </c>
      <c r="Q207" s="29">
        <v>4</v>
      </c>
      <c r="R207" s="29">
        <v>28</v>
      </c>
      <c r="S207" s="28" t="s">
        <v>131</v>
      </c>
      <c r="T207" s="30" t="str">
        <f>_xlfn.CONCAT(Table5[[#This Row],[OrderID]]," | ",Table5[[#This Row],[City]]," | ",Table5[[#This Row],[ItemName]])</f>
        <v>ORD-1203 | Kathmandu | chicken momo (steamed)</v>
      </c>
      <c r="U207" s="30" t="str">
        <f>UPPER(Table5[[#This Row],[City]])</f>
        <v>KATHMANDU</v>
      </c>
      <c r="V207" s="30" t="str">
        <f>LOWER(Table5[[#This Row],[PaymentMethod]])</f>
        <v>khalti</v>
      </c>
      <c r="W207" s="30" cm="1">
        <f t="array" ref="W207">_xlfn.XLOOKUP(TRIM(Table5[[#This Row],[ItemName]]), TRIM(Menu_Price_List_tbl[ItemName]),Menu_Price_List_tbl[UnitPrice_NPR])</f>
        <v>190</v>
      </c>
      <c r="X207" s="31">
        <f t="shared" si="11"/>
        <v>380</v>
      </c>
      <c r="Y207" s="30">
        <f>_xlfn.XLOOKUP(Table5[[#This Row],[City]],City_Delivery_Fee_tbl[City],City_Delivery_Fee_tbl[BaseDeliveryFee_NPR])</f>
        <v>50</v>
      </c>
      <c r="Z20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07" s="31">
        <f>Table5[[#This Row],[Order Amount]]+Table5[[#This Row],[Delivery Fee]]-Table5[[#This Row],[Discount Amount]]</f>
        <v>430</v>
      </c>
      <c r="AB207" s="30" t="str">
        <f>_xlfn.XLOOKUP(Table5[[#This Row],[RiderID]], Rider_Directory!$F$2:$F$26, Rider_Directory!$B$2:$B$26)</f>
        <v>Kathmandu</v>
      </c>
      <c r="AC207" s="30" t="str" cm="1">
        <f t="array" ref="AC207">_xlfn.IFS(Table5[[#This Row],[Final Amount]]&lt;500, "Small", Table5[[#This Row],[Final Amount]]&lt;=1000, "Medium", Table5[[#This Row],[Final Amount]]&gt;1000, "Large")</f>
        <v>Small</v>
      </c>
      <c r="AD207" s="30" t="str">
        <f>_xlfn.LET(_xlpm.expiry,_xlfn.XLOOKUP(Table5[[#This Row],[PromoCode]],Promo_Codes!$A$2:$A$9,Promo_Codes!$F$2:$F$9,DATE(2099,1,1)),IF(Table5[[#This Row],[OrderDate]]&gt;_xlpm.expiry,"Expired Code Used","Valid"))</f>
        <v>Valid</v>
      </c>
    </row>
    <row r="208" spans="1:30" x14ac:dyDescent="0.3">
      <c r="A208" s="28" t="s">
        <v>639</v>
      </c>
      <c r="B208" s="27">
        <v>45980</v>
      </c>
      <c r="C208" s="28" t="s">
        <v>355</v>
      </c>
      <c r="D208" s="28" t="s">
        <v>1194</v>
      </c>
      <c r="E208" s="27">
        <v>45911</v>
      </c>
      <c r="F208" s="27" t="str">
        <f t="shared" si="9"/>
        <v>Returning</v>
      </c>
      <c r="G208" s="28" t="s">
        <v>123</v>
      </c>
      <c r="H208" s="28" t="s">
        <v>146</v>
      </c>
      <c r="I208" s="28" t="s">
        <v>147</v>
      </c>
      <c r="J208" s="28" t="s">
        <v>148</v>
      </c>
      <c r="K208" s="29">
        <v>1</v>
      </c>
      <c r="L208" s="28" t="s">
        <v>290</v>
      </c>
      <c r="M208" s="28" t="s">
        <v>159</v>
      </c>
      <c r="N208" s="28"/>
      <c r="O208" s="28" t="s">
        <v>130</v>
      </c>
      <c r="P208" s="28" t="str">
        <f t="shared" si="10"/>
        <v/>
      </c>
      <c r="Q208" s="29">
        <v>5</v>
      </c>
      <c r="R208" s="29">
        <v>36</v>
      </c>
      <c r="S208" s="28" t="s">
        <v>202</v>
      </c>
      <c r="T208" s="30" t="str">
        <f>_xlfn.CONCAT(Table5[[#This Row],[OrderID]]," | ",Table5[[#This Row],[City]]," | ",Table5[[#This Row],[ItemName]])</f>
        <v>ORD-1204 | Biratnagar | Barfi (5 pcs)</v>
      </c>
      <c r="U208" s="30" t="str">
        <f>UPPER(Table5[[#This Row],[City]])</f>
        <v>BIRATNAGAR</v>
      </c>
      <c r="V208" s="30" t="str">
        <f>LOWER(Table5[[#This Row],[PaymentMethod]])</f>
        <v>khalti</v>
      </c>
      <c r="W208" s="30" cm="1">
        <f t="array" ref="W208">_xlfn.XLOOKUP(TRIM(Table5[[#This Row],[ItemName]]), TRIM(Menu_Price_List_tbl[ItemName]),Menu_Price_List_tbl[UnitPrice_NPR])</f>
        <v>220</v>
      </c>
      <c r="X208" s="31">
        <f t="shared" si="11"/>
        <v>220</v>
      </c>
      <c r="Y208" s="30">
        <f>_xlfn.XLOOKUP(Table5[[#This Row],[City]],City_Delivery_Fee_tbl[City],City_Delivery_Fee_tbl[BaseDeliveryFee_NPR])</f>
        <v>90</v>
      </c>
      <c r="Z20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08" s="31">
        <f>Table5[[#This Row],[Order Amount]]+Table5[[#This Row],[Delivery Fee]]-Table5[[#This Row],[Discount Amount]]</f>
        <v>310</v>
      </c>
      <c r="AB208" s="30" t="str">
        <f>_xlfn.XLOOKUP(Table5[[#This Row],[RiderID]], Rider_Directory!$F$2:$F$26, Rider_Directory!$B$2:$B$26)</f>
        <v>Biratnagar</v>
      </c>
      <c r="AC208" s="30" t="str" cm="1">
        <f t="array" ref="AC208">_xlfn.IFS(Table5[[#This Row],[Final Amount]]&lt;500, "Small", Table5[[#This Row],[Final Amount]]&lt;=1000, "Medium", Table5[[#This Row],[Final Amount]]&gt;1000, "Large")</f>
        <v>Small</v>
      </c>
      <c r="AD208" s="30" t="str">
        <f>_xlfn.LET(_xlpm.expiry,_xlfn.XLOOKUP(Table5[[#This Row],[PromoCode]],Promo_Codes!$A$2:$A$9,Promo_Codes!$F$2:$F$9,DATE(2099,1,1)),IF(Table5[[#This Row],[OrderDate]]&gt;_xlpm.expiry,"Expired Code Used","Valid"))</f>
        <v>Valid</v>
      </c>
    </row>
    <row r="209" spans="1:30" x14ac:dyDescent="0.3">
      <c r="A209" s="28" t="s">
        <v>1023</v>
      </c>
      <c r="B209" s="27">
        <v>45984</v>
      </c>
      <c r="C209" s="28" t="s">
        <v>1132</v>
      </c>
      <c r="D209" s="28" t="s">
        <v>1220</v>
      </c>
      <c r="E209" s="27">
        <v>45926</v>
      </c>
      <c r="F209" s="27" t="str">
        <f t="shared" si="9"/>
        <v>Returning</v>
      </c>
      <c r="G209" s="28" t="s">
        <v>198</v>
      </c>
      <c r="H209" s="28" t="s">
        <v>163</v>
      </c>
      <c r="I209" s="28" t="s">
        <v>164</v>
      </c>
      <c r="J209" s="28" t="s">
        <v>372</v>
      </c>
      <c r="K209" s="29">
        <v>2</v>
      </c>
      <c r="L209" s="28" t="s">
        <v>213</v>
      </c>
      <c r="M209" s="28" t="s">
        <v>140</v>
      </c>
      <c r="N209" s="28"/>
      <c r="O209" s="28" t="s">
        <v>130</v>
      </c>
      <c r="P209" s="28" t="str">
        <f t="shared" si="10"/>
        <v/>
      </c>
      <c r="Q209" s="29">
        <v>4</v>
      </c>
      <c r="R209" s="29">
        <v>32</v>
      </c>
      <c r="S209" s="28"/>
      <c r="T209" s="30" t="str">
        <f>_xlfn.CONCAT(Table5[[#This Row],[OrderID]]," | ",Table5[[#This Row],[City]]," | ",Table5[[#This Row],[ItemName]])</f>
        <v>ORD-1205 | Lalitpur | Black Coffee</v>
      </c>
      <c r="U209" s="30" t="str">
        <f>UPPER(Table5[[#This Row],[City]])</f>
        <v>LALITPUR</v>
      </c>
      <c r="V209" s="30" t="str">
        <f>LOWER(Table5[[#This Row],[PaymentMethod]])</f>
        <v>cash on delivery</v>
      </c>
      <c r="W209" s="30" cm="1">
        <f t="array" ref="W209">_xlfn.XLOOKUP(TRIM(Table5[[#This Row],[ItemName]]), TRIM(Menu_Price_List_tbl[ItemName]),Menu_Price_List_tbl[UnitPrice_NPR])</f>
        <v>90</v>
      </c>
      <c r="X209" s="31">
        <f t="shared" si="11"/>
        <v>180</v>
      </c>
      <c r="Y209" s="30">
        <f>_xlfn.XLOOKUP(Table5[[#This Row],[City]],City_Delivery_Fee_tbl[City],City_Delivery_Fee_tbl[BaseDeliveryFee_NPR])</f>
        <v>50</v>
      </c>
      <c r="Z20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09" s="31">
        <f>Table5[[#This Row],[Order Amount]]+Table5[[#This Row],[Delivery Fee]]-Table5[[#This Row],[Discount Amount]]</f>
        <v>230</v>
      </c>
      <c r="AB209" s="30" t="str">
        <f>_xlfn.XLOOKUP(Table5[[#This Row],[RiderID]], Rider_Directory!$F$2:$F$26, Rider_Directory!$B$2:$B$26)</f>
        <v>Lalitpur</v>
      </c>
      <c r="AC209" s="30" t="str" cm="1">
        <f t="array" ref="AC209">_xlfn.IFS(Table5[[#This Row],[Final Amount]]&lt;500, "Small", Table5[[#This Row],[Final Amount]]&lt;=1000, "Medium", Table5[[#This Row],[Final Amount]]&gt;1000, "Large")</f>
        <v>Small</v>
      </c>
      <c r="AD209" s="30" t="str">
        <f>_xlfn.LET(_xlpm.expiry,_xlfn.XLOOKUP(Table5[[#This Row],[PromoCode]],Promo_Codes!$A$2:$A$9,Promo_Codes!$F$2:$F$9,DATE(2099,1,1)),IF(Table5[[#This Row],[OrderDate]]&gt;_xlpm.expiry,"Expired Code Used","Valid"))</f>
        <v>Valid</v>
      </c>
    </row>
    <row r="210" spans="1:30" x14ac:dyDescent="0.3">
      <c r="A210" s="28" t="s">
        <v>862</v>
      </c>
      <c r="B210" s="27">
        <v>45986</v>
      </c>
      <c r="C210" s="28" t="s">
        <v>161</v>
      </c>
      <c r="D210" s="28" t="s">
        <v>1163</v>
      </c>
      <c r="E210" s="27">
        <v>45743</v>
      </c>
      <c r="F210" s="27" t="str">
        <f t="shared" si="9"/>
        <v>Returning</v>
      </c>
      <c r="G210" s="28" t="s">
        <v>177</v>
      </c>
      <c r="H210" s="28" t="s">
        <v>339</v>
      </c>
      <c r="I210" s="28" t="s">
        <v>233</v>
      </c>
      <c r="J210" s="28" t="s">
        <v>234</v>
      </c>
      <c r="K210" s="29">
        <v>1</v>
      </c>
      <c r="L210" s="28" t="s">
        <v>713</v>
      </c>
      <c r="M210" s="28" t="s">
        <v>159</v>
      </c>
      <c r="N210" s="28"/>
      <c r="O210" s="28" t="s">
        <v>130</v>
      </c>
      <c r="P210" s="28" t="str">
        <f t="shared" si="10"/>
        <v/>
      </c>
      <c r="Q210" s="29">
        <v>5</v>
      </c>
      <c r="R210" s="29">
        <v>35</v>
      </c>
      <c r="S210" s="28"/>
      <c r="T210" s="30" t="str">
        <f>_xlfn.CONCAT(Table5[[#This Row],[OrderID]]," | ",Table5[[#This Row],[City]]," | ",Table5[[#This Row],[ItemName]])</f>
        <v>ORD-1206 | Bhaktapur | Buff Momo (Steamed)</v>
      </c>
      <c r="U210" s="30" t="str">
        <f>UPPER(Table5[[#This Row],[City]])</f>
        <v>BHAKTAPUR</v>
      </c>
      <c r="V210" s="30" t="str">
        <f>LOWER(Table5[[#This Row],[PaymentMethod]])</f>
        <v>khalti</v>
      </c>
      <c r="W210" s="30" cm="1">
        <f t="array" ref="W210">_xlfn.XLOOKUP(TRIM(Table5[[#This Row],[ItemName]]), TRIM(Menu_Price_List_tbl[ItemName]),Menu_Price_List_tbl[UnitPrice_NPR])</f>
        <v>170</v>
      </c>
      <c r="X210" s="31">
        <f t="shared" si="11"/>
        <v>170</v>
      </c>
      <c r="Y210" s="30">
        <f>_xlfn.XLOOKUP(Table5[[#This Row],[City]],City_Delivery_Fee_tbl[City],City_Delivery_Fee_tbl[BaseDeliveryFee_NPR])</f>
        <v>55</v>
      </c>
      <c r="Z21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10" s="31">
        <f>Table5[[#This Row],[Order Amount]]+Table5[[#This Row],[Delivery Fee]]-Table5[[#This Row],[Discount Amount]]</f>
        <v>225</v>
      </c>
      <c r="AB210" s="30" t="str">
        <f>_xlfn.XLOOKUP(Table5[[#This Row],[RiderID]], Rider_Directory!$F$2:$F$26, Rider_Directory!$B$2:$B$26)</f>
        <v>Bhaktapur</v>
      </c>
      <c r="AC210" s="30" t="str" cm="1">
        <f t="array" ref="AC210">_xlfn.IFS(Table5[[#This Row],[Final Amount]]&lt;500, "Small", Table5[[#This Row],[Final Amount]]&lt;=1000, "Medium", Table5[[#This Row],[Final Amount]]&gt;1000, "Large")</f>
        <v>Small</v>
      </c>
      <c r="AD210" s="30" t="str">
        <f>_xlfn.LET(_xlpm.expiry,_xlfn.XLOOKUP(Table5[[#This Row],[PromoCode]],Promo_Codes!$A$2:$A$9,Promo_Codes!$F$2:$F$9,DATE(2099,1,1)),IF(Table5[[#This Row],[OrderDate]]&gt;_xlpm.expiry,"Expired Code Used","Valid"))</f>
        <v>Valid</v>
      </c>
    </row>
    <row r="211" spans="1:30" x14ac:dyDescent="0.3">
      <c r="A211" s="28" t="s">
        <v>941</v>
      </c>
      <c r="B211" s="27">
        <v>45987</v>
      </c>
      <c r="C211" s="28" t="s">
        <v>729</v>
      </c>
      <c r="D211" s="28" t="s">
        <v>1258</v>
      </c>
      <c r="E211" s="27">
        <v>45951</v>
      </c>
      <c r="F211" s="27" t="str">
        <f t="shared" si="9"/>
        <v>Returning</v>
      </c>
      <c r="G211" s="28" t="s">
        <v>206</v>
      </c>
      <c r="H211" s="28" t="s">
        <v>339</v>
      </c>
      <c r="I211" s="28" t="s">
        <v>233</v>
      </c>
      <c r="J211" s="28" t="s">
        <v>301</v>
      </c>
      <c r="K211" s="29">
        <v>1</v>
      </c>
      <c r="L211" s="28" t="s">
        <v>353</v>
      </c>
      <c r="M211" s="28" t="s">
        <v>278</v>
      </c>
      <c r="N211" s="28"/>
      <c r="O211" s="28" t="s">
        <v>130</v>
      </c>
      <c r="P211" s="28" t="str">
        <f t="shared" si="10"/>
        <v/>
      </c>
      <c r="Q211" s="29">
        <v>4</v>
      </c>
      <c r="R211" s="29">
        <v>34</v>
      </c>
      <c r="S211" s="28"/>
      <c r="T211" s="30" t="str">
        <f>_xlfn.CONCAT(Table5[[#This Row],[OrderID]]," | ",Table5[[#This Row],[City]]," | ",Table5[[#This Row],[ItemName]])</f>
        <v>ORD-1207 | Pokhara | Veg Momo (Steamed)</v>
      </c>
      <c r="U211" s="30" t="str">
        <f>UPPER(Table5[[#This Row],[City]])</f>
        <v>POKHARA</v>
      </c>
      <c r="V211" s="30" t="str">
        <f>LOWER(Table5[[#This Row],[PaymentMethod]])</f>
        <v>connectips</v>
      </c>
      <c r="W211" s="30" cm="1">
        <f t="array" ref="W211">_xlfn.XLOOKUP(TRIM(Table5[[#This Row],[ItemName]]), TRIM(Menu_Price_List_tbl[ItemName]),Menu_Price_List_tbl[UnitPrice_NPR])</f>
        <v>150</v>
      </c>
      <c r="X211" s="31">
        <f t="shared" si="11"/>
        <v>150</v>
      </c>
      <c r="Y211" s="30">
        <f>_xlfn.XLOOKUP(Table5[[#This Row],[City]],City_Delivery_Fee_tbl[City],City_Delivery_Fee_tbl[BaseDeliveryFee_NPR])</f>
        <v>70</v>
      </c>
      <c r="Z21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11" s="31">
        <f>Table5[[#This Row],[Order Amount]]+Table5[[#This Row],[Delivery Fee]]-Table5[[#This Row],[Discount Amount]]</f>
        <v>220</v>
      </c>
      <c r="AB211" s="30" t="str">
        <f>_xlfn.XLOOKUP(Table5[[#This Row],[RiderID]], Rider_Directory!$F$2:$F$26, Rider_Directory!$B$2:$B$26)</f>
        <v>Pokhara</v>
      </c>
      <c r="AC211" s="30" t="str" cm="1">
        <f t="array" ref="AC211">_xlfn.IFS(Table5[[#This Row],[Final Amount]]&lt;500, "Small", Table5[[#This Row],[Final Amount]]&lt;=1000, "Medium", Table5[[#This Row],[Final Amount]]&gt;1000, "Large")</f>
        <v>Small</v>
      </c>
      <c r="AD211" s="30" t="str">
        <f>_xlfn.LET(_xlpm.expiry,_xlfn.XLOOKUP(Table5[[#This Row],[PromoCode]],Promo_Codes!$A$2:$A$9,Promo_Codes!$F$2:$F$9,DATE(2099,1,1)),IF(Table5[[#This Row],[OrderDate]]&gt;_xlpm.expiry,"Expired Code Used","Valid"))</f>
        <v>Valid</v>
      </c>
    </row>
    <row r="212" spans="1:30" x14ac:dyDescent="0.3">
      <c r="A212" s="28" t="s">
        <v>1054</v>
      </c>
      <c r="B212" s="27">
        <v>45991</v>
      </c>
      <c r="C212" s="28" t="s">
        <v>481</v>
      </c>
      <c r="D212" s="28" t="s">
        <v>1176</v>
      </c>
      <c r="E212" s="27">
        <v>45874</v>
      </c>
      <c r="F212" s="27" t="str">
        <f t="shared" si="9"/>
        <v>Returning</v>
      </c>
      <c r="G212" s="28" t="s">
        <v>170</v>
      </c>
      <c r="H212" s="28" t="s">
        <v>288</v>
      </c>
      <c r="I212" s="28" t="s">
        <v>156</v>
      </c>
      <c r="J212" s="28" t="s">
        <v>1056</v>
      </c>
      <c r="K212" s="29">
        <v>2</v>
      </c>
      <c r="L212" s="28" t="s">
        <v>158</v>
      </c>
      <c r="M212" s="28" t="s">
        <v>128</v>
      </c>
      <c r="N212" s="28"/>
      <c r="O212" s="28" t="s">
        <v>130</v>
      </c>
      <c r="P212" s="28" t="str">
        <f t="shared" si="10"/>
        <v/>
      </c>
      <c r="Q212" s="29">
        <v>3</v>
      </c>
      <c r="R212" s="29">
        <v>52</v>
      </c>
      <c r="S212" s="28"/>
      <c r="T212" s="30" t="str">
        <f>_xlfn.CONCAT(Table5[[#This Row],[OrderID]]," | ",Table5[[#This Row],[City]]," | ",Table5[[#This Row],[ItemName]])</f>
        <v xml:space="preserve">ORD-1208 | Butwal | Veg Chopsuey  </v>
      </c>
      <c r="U212" s="30" t="str">
        <f>UPPER(Table5[[#This Row],[City]])</f>
        <v>BUTWAL</v>
      </c>
      <c r="V212" s="30" t="str">
        <f>LOWER(Table5[[#This Row],[PaymentMethod]])</f>
        <v>esewa</v>
      </c>
      <c r="W212" s="30" cm="1">
        <f t="array" ref="W212">_xlfn.XLOOKUP(TRIM(Table5[[#This Row],[ItemName]]), TRIM(Menu_Price_List_tbl[ItemName]),Menu_Price_List_tbl[UnitPrice_NPR])</f>
        <v>260</v>
      </c>
      <c r="X212" s="31">
        <f t="shared" si="11"/>
        <v>520</v>
      </c>
      <c r="Y212" s="30">
        <f>_xlfn.XLOOKUP(Table5[[#This Row],[City]],City_Delivery_Fee_tbl[City],City_Delivery_Fee_tbl[BaseDeliveryFee_NPR])</f>
        <v>85</v>
      </c>
      <c r="Z21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12" s="31">
        <f>Table5[[#This Row],[Order Amount]]+Table5[[#This Row],[Delivery Fee]]-Table5[[#This Row],[Discount Amount]]</f>
        <v>605</v>
      </c>
      <c r="AB212" s="30" t="str">
        <f>_xlfn.XLOOKUP(Table5[[#This Row],[RiderID]], Rider_Directory!$F$2:$F$26, Rider_Directory!$B$2:$B$26)</f>
        <v>Butwal</v>
      </c>
      <c r="AC212" s="30" t="str" cm="1">
        <f t="array" ref="AC212">_xlfn.IFS(Table5[[#This Row],[Final Amount]]&lt;500, "Small", Table5[[#This Row],[Final Amount]]&lt;=1000, "Medium", Table5[[#This Row],[Final Amount]]&gt;1000, "Large")</f>
        <v>Medium</v>
      </c>
      <c r="AD212" s="30" t="str">
        <f>_xlfn.LET(_xlpm.expiry,_xlfn.XLOOKUP(Table5[[#This Row],[PromoCode]],Promo_Codes!$A$2:$A$9,Promo_Codes!$F$2:$F$9,DATE(2099,1,1)),IF(Table5[[#This Row],[OrderDate]]&gt;_xlpm.expiry,"Expired Code Used","Valid"))</f>
        <v>Valid</v>
      </c>
    </row>
    <row r="213" spans="1:30" x14ac:dyDescent="0.3">
      <c r="A213" s="28" t="s">
        <v>773</v>
      </c>
      <c r="B213" s="27">
        <v>45992</v>
      </c>
      <c r="C213" s="28" t="s">
        <v>801</v>
      </c>
      <c r="D213" s="28" t="s">
        <v>1263</v>
      </c>
      <c r="E213" s="27">
        <v>45820</v>
      </c>
      <c r="F213" s="27" t="str">
        <f t="shared" si="9"/>
        <v>Returning</v>
      </c>
      <c r="G213" s="28" t="s">
        <v>135</v>
      </c>
      <c r="H213" s="28" t="s">
        <v>339</v>
      </c>
      <c r="I213" s="28" t="s">
        <v>233</v>
      </c>
      <c r="J213" s="28" t="s">
        <v>776</v>
      </c>
      <c r="K213" s="29">
        <v>2</v>
      </c>
      <c r="L213" s="28" t="s">
        <v>277</v>
      </c>
      <c r="M213" s="28" t="s">
        <v>159</v>
      </c>
      <c r="N213" s="28"/>
      <c r="O213" s="28" t="s">
        <v>279</v>
      </c>
      <c r="P213" s="28" t="str">
        <f t="shared" si="10"/>
        <v/>
      </c>
      <c r="Q213" s="28"/>
      <c r="R213" s="29">
        <v>35</v>
      </c>
      <c r="S213" s="28" t="s">
        <v>280</v>
      </c>
      <c r="T213" s="30" t="str">
        <f>_xlfn.CONCAT(Table5[[#This Row],[OrderID]]," | ",Table5[[#This Row],[City]]," | ",Table5[[#This Row],[ItemName]])</f>
        <v xml:space="preserve">ORD-1209 | Kathmandu | Veg Momo (Fried)  </v>
      </c>
      <c r="U213" s="30" t="str">
        <f>UPPER(Table5[[#This Row],[City]])</f>
        <v>KATHMANDU</v>
      </c>
      <c r="V213" s="30" t="str">
        <f>LOWER(Table5[[#This Row],[PaymentMethod]])</f>
        <v>khalti</v>
      </c>
      <c r="W213" s="30" cm="1">
        <f t="array" ref="W213">_xlfn.XLOOKUP(TRIM(Table5[[#This Row],[ItemName]]), TRIM(Menu_Price_List_tbl[ItemName]),Menu_Price_List_tbl[UnitPrice_NPR])</f>
        <v>160</v>
      </c>
      <c r="X213" s="31">
        <f t="shared" si="11"/>
        <v>320</v>
      </c>
      <c r="Y213" s="30">
        <f>_xlfn.XLOOKUP(Table5[[#This Row],[City]],City_Delivery_Fee_tbl[City],City_Delivery_Fee_tbl[BaseDeliveryFee_NPR])</f>
        <v>50</v>
      </c>
      <c r="Z21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13" s="31">
        <f>Table5[[#This Row],[Order Amount]]+Table5[[#This Row],[Delivery Fee]]-Table5[[#This Row],[Discount Amount]]</f>
        <v>370</v>
      </c>
      <c r="AB213" s="30" t="str">
        <f>_xlfn.XLOOKUP(Table5[[#This Row],[RiderID]], Rider_Directory!$F$2:$F$26, Rider_Directory!$B$2:$B$26)</f>
        <v>Kathmandu</v>
      </c>
      <c r="AC213" s="30" t="str" cm="1">
        <f t="array" ref="AC213">_xlfn.IFS(Table5[[#This Row],[Final Amount]]&lt;500, "Small", Table5[[#This Row],[Final Amount]]&lt;=1000, "Medium", Table5[[#This Row],[Final Amount]]&gt;1000, "Large")</f>
        <v>Small</v>
      </c>
      <c r="AD213" s="30" t="str">
        <f>_xlfn.LET(_xlpm.expiry,_xlfn.XLOOKUP(Table5[[#This Row],[PromoCode]],Promo_Codes!$A$2:$A$9,Promo_Codes!$F$2:$F$9,DATE(2099,1,1)),IF(Table5[[#This Row],[OrderDate]]&gt;_xlpm.expiry,"Expired Code Used","Valid"))</f>
        <v>Valid</v>
      </c>
    </row>
    <row r="214" spans="1:30" x14ac:dyDescent="0.3">
      <c r="A214" s="28" t="s">
        <v>540</v>
      </c>
      <c r="B214" s="27">
        <v>45992</v>
      </c>
      <c r="C214" s="28" t="s">
        <v>384</v>
      </c>
      <c r="D214" s="28" t="s">
        <v>1228</v>
      </c>
      <c r="E214" s="27">
        <v>45910</v>
      </c>
      <c r="F214" s="27" t="str">
        <f t="shared" si="9"/>
        <v>Returning</v>
      </c>
      <c r="G214" s="28" t="s">
        <v>145</v>
      </c>
      <c r="H214" s="28" t="s">
        <v>245</v>
      </c>
      <c r="I214" s="28" t="s">
        <v>233</v>
      </c>
      <c r="J214" s="28" t="s">
        <v>542</v>
      </c>
      <c r="K214" s="29">
        <v>2</v>
      </c>
      <c r="L214" s="28" t="s">
        <v>149</v>
      </c>
      <c r="M214" s="28" t="s">
        <v>247</v>
      </c>
      <c r="N214" s="28"/>
      <c r="O214" s="28" t="s">
        <v>130</v>
      </c>
      <c r="P214" s="28" t="str">
        <f t="shared" si="10"/>
        <v/>
      </c>
      <c r="Q214" s="29">
        <v>3</v>
      </c>
      <c r="R214" s="29">
        <v>56</v>
      </c>
      <c r="S214" s="28"/>
      <c r="T214" s="30" t="str">
        <f>_xlfn.CONCAT(Table5[[#This Row],[OrderID]]," | ",Table5[[#This Row],[City]]," | ",Table5[[#This Row],[ItemName]])</f>
        <v xml:space="preserve">ORD-1210 | Chitwan | Chicken Momo (Fried)  </v>
      </c>
      <c r="U214" s="30" t="str">
        <f>UPPER(Table5[[#This Row],[City]])</f>
        <v>CHITWAN</v>
      </c>
      <c r="V214" s="30" t="str">
        <f>LOWER(Table5[[#This Row],[PaymentMethod]])</f>
        <v>ime pay</v>
      </c>
      <c r="W214" s="30" cm="1">
        <f t="array" ref="W214">_xlfn.XLOOKUP(TRIM(Table5[[#This Row],[ItemName]]), TRIM(Menu_Price_List_tbl[ItemName]),Menu_Price_List_tbl[UnitPrice_NPR])</f>
        <v>210</v>
      </c>
      <c r="X214" s="31">
        <f t="shared" si="11"/>
        <v>420</v>
      </c>
      <c r="Y214" s="30">
        <f>_xlfn.XLOOKUP(Table5[[#This Row],[City]],City_Delivery_Fee_tbl[City],City_Delivery_Fee_tbl[BaseDeliveryFee_NPR])</f>
        <v>80</v>
      </c>
      <c r="Z21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14" s="31">
        <f>Table5[[#This Row],[Order Amount]]+Table5[[#This Row],[Delivery Fee]]-Table5[[#This Row],[Discount Amount]]</f>
        <v>500</v>
      </c>
      <c r="AB214" s="30" t="str">
        <f>_xlfn.XLOOKUP(Table5[[#This Row],[RiderID]], Rider_Directory!$F$2:$F$26, Rider_Directory!$B$2:$B$26)</f>
        <v>Chitwan</v>
      </c>
      <c r="AC214" s="30" t="str" cm="1">
        <f t="array" ref="AC214">_xlfn.IFS(Table5[[#This Row],[Final Amount]]&lt;500, "Small", Table5[[#This Row],[Final Amount]]&lt;=1000, "Medium", Table5[[#This Row],[Final Amount]]&gt;1000, "Large")</f>
        <v>Medium</v>
      </c>
      <c r="AD214" s="30" t="str">
        <f>_xlfn.LET(_xlpm.expiry,_xlfn.XLOOKUP(Table5[[#This Row],[PromoCode]],Promo_Codes!$A$2:$A$9,Promo_Codes!$F$2:$F$9,DATE(2099,1,1)),IF(Table5[[#This Row],[OrderDate]]&gt;_xlpm.expiry,"Expired Code Used","Valid"))</f>
        <v>Valid</v>
      </c>
    </row>
    <row r="215" spans="1:30" x14ac:dyDescent="0.3">
      <c r="A215" s="28" t="s">
        <v>770</v>
      </c>
      <c r="B215" s="27">
        <v>45993</v>
      </c>
      <c r="C215" s="28" t="s">
        <v>608</v>
      </c>
      <c r="D215" s="28" t="s">
        <v>1214</v>
      </c>
      <c r="E215" s="27">
        <v>45889</v>
      </c>
      <c r="F215" s="27" t="str">
        <f t="shared" si="9"/>
        <v>Returning</v>
      </c>
      <c r="G215" s="28" t="s">
        <v>206</v>
      </c>
      <c r="H215" s="28" t="s">
        <v>538</v>
      </c>
      <c r="I215" s="28" t="s">
        <v>351</v>
      </c>
      <c r="J215" s="28" t="s">
        <v>772</v>
      </c>
      <c r="K215" s="29">
        <v>4</v>
      </c>
      <c r="L215" s="28" t="s">
        <v>353</v>
      </c>
      <c r="M215" s="28" t="s">
        <v>159</v>
      </c>
      <c r="N215" s="28"/>
      <c r="O215" s="28" t="s">
        <v>130</v>
      </c>
      <c r="P215" s="28" t="str">
        <f t="shared" si="10"/>
        <v/>
      </c>
      <c r="Q215" s="29">
        <v>4</v>
      </c>
      <c r="R215" s="29">
        <v>35</v>
      </c>
      <c r="S215" s="28"/>
      <c r="T215" s="30" t="str">
        <f>_xlfn.CONCAT(Table5[[#This Row],[OrderID]]," | ",Table5[[#This Row],[City]]," | ",Table5[[#This Row],[ItemName]])</f>
        <v>ORD-1211 | Pokhara | BUFF SEKUWA</v>
      </c>
      <c r="U215" s="30" t="str">
        <f>UPPER(Table5[[#This Row],[City]])</f>
        <v>POKHARA</v>
      </c>
      <c r="V215" s="30" t="str">
        <f>LOWER(Table5[[#This Row],[PaymentMethod]])</f>
        <v>khalti</v>
      </c>
      <c r="W215" s="30" cm="1">
        <f t="array" ref="W215">_xlfn.XLOOKUP(TRIM(Table5[[#This Row],[ItemName]]), TRIM(Menu_Price_List_tbl[ItemName]),Menu_Price_List_tbl[UnitPrice_NPR])</f>
        <v>380</v>
      </c>
      <c r="X215" s="31">
        <f t="shared" si="11"/>
        <v>1520</v>
      </c>
      <c r="Y215" s="30">
        <f>_xlfn.XLOOKUP(Table5[[#This Row],[City]],City_Delivery_Fee_tbl[City],City_Delivery_Fee_tbl[BaseDeliveryFee_NPR])</f>
        <v>70</v>
      </c>
      <c r="Z21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15" s="31">
        <f>Table5[[#This Row],[Order Amount]]+Table5[[#This Row],[Delivery Fee]]-Table5[[#This Row],[Discount Amount]]</f>
        <v>1590</v>
      </c>
      <c r="AB215" s="30" t="str">
        <f>_xlfn.XLOOKUP(Table5[[#This Row],[RiderID]], Rider_Directory!$F$2:$F$26, Rider_Directory!$B$2:$B$26)</f>
        <v>Pokhara</v>
      </c>
      <c r="AC215" s="30" t="str" cm="1">
        <f t="array" ref="AC215">_xlfn.IFS(Table5[[#This Row],[Final Amount]]&lt;500, "Small", Table5[[#This Row],[Final Amount]]&lt;=1000, "Medium", Table5[[#This Row],[Final Amount]]&gt;1000, "Large")</f>
        <v>Large</v>
      </c>
      <c r="AD215" s="30" t="str">
        <f>_xlfn.LET(_xlpm.expiry,_xlfn.XLOOKUP(Table5[[#This Row],[PromoCode]],Promo_Codes!$A$2:$A$9,Promo_Codes!$F$2:$F$9,DATE(2099,1,1)),IF(Table5[[#This Row],[OrderDate]]&gt;_xlpm.expiry,"Expired Code Used","Valid"))</f>
        <v>Valid</v>
      </c>
    </row>
    <row r="216" spans="1:30" x14ac:dyDescent="0.3">
      <c r="A216" s="28" t="s">
        <v>630</v>
      </c>
      <c r="B216" s="27">
        <v>45994</v>
      </c>
      <c r="C216" s="28" t="s">
        <v>631</v>
      </c>
      <c r="D216" s="28" t="s">
        <v>1193</v>
      </c>
      <c r="E216" s="27">
        <v>45897</v>
      </c>
      <c r="F216" s="27" t="str">
        <f t="shared" si="9"/>
        <v>Returning</v>
      </c>
      <c r="G216" s="28" t="s">
        <v>135</v>
      </c>
      <c r="H216" s="28" t="s">
        <v>339</v>
      </c>
      <c r="I216" s="28" t="s">
        <v>233</v>
      </c>
      <c r="J216" s="28" t="s">
        <v>276</v>
      </c>
      <c r="K216" s="29">
        <v>2</v>
      </c>
      <c r="L216" s="28" t="s">
        <v>277</v>
      </c>
      <c r="M216" s="28" t="s">
        <v>140</v>
      </c>
      <c r="N216" s="28"/>
      <c r="O216" s="28" t="s">
        <v>130</v>
      </c>
      <c r="P216" s="28" t="str">
        <f t="shared" si="10"/>
        <v/>
      </c>
      <c r="Q216" s="29">
        <v>5</v>
      </c>
      <c r="R216" s="29">
        <v>28</v>
      </c>
      <c r="S216" s="28"/>
      <c r="T216" s="30" t="str">
        <f>_xlfn.CONCAT(Table5[[#This Row],[OrderID]]," | ",Table5[[#This Row],[City]]," | ",Table5[[#This Row],[ItemName]])</f>
        <v>ORD-1212 | Kathmandu | Chicken Momo (Steamed)</v>
      </c>
      <c r="U216" s="30" t="str">
        <f>UPPER(Table5[[#This Row],[City]])</f>
        <v>KATHMANDU</v>
      </c>
      <c r="V216" s="30" t="str">
        <f>LOWER(Table5[[#This Row],[PaymentMethod]])</f>
        <v>cash on delivery</v>
      </c>
      <c r="W216" s="30" cm="1">
        <f t="array" ref="W216">_xlfn.XLOOKUP(TRIM(Table5[[#This Row],[ItemName]]), TRIM(Menu_Price_List_tbl[ItemName]),Menu_Price_List_tbl[UnitPrice_NPR])</f>
        <v>190</v>
      </c>
      <c r="X216" s="31">
        <f t="shared" si="11"/>
        <v>380</v>
      </c>
      <c r="Y216" s="30">
        <f>_xlfn.XLOOKUP(Table5[[#This Row],[City]],City_Delivery_Fee_tbl[City],City_Delivery_Fee_tbl[BaseDeliveryFee_NPR])</f>
        <v>50</v>
      </c>
      <c r="Z21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16" s="31">
        <f>Table5[[#This Row],[Order Amount]]+Table5[[#This Row],[Delivery Fee]]-Table5[[#This Row],[Discount Amount]]</f>
        <v>430</v>
      </c>
      <c r="AB216" s="30" t="str">
        <f>_xlfn.XLOOKUP(Table5[[#This Row],[RiderID]], Rider_Directory!$F$2:$F$26, Rider_Directory!$B$2:$B$26)</f>
        <v>Kathmandu</v>
      </c>
      <c r="AC216" s="30" t="str" cm="1">
        <f t="array" ref="AC216">_xlfn.IFS(Table5[[#This Row],[Final Amount]]&lt;500, "Small", Table5[[#This Row],[Final Amount]]&lt;=1000, "Medium", Table5[[#This Row],[Final Amount]]&gt;1000, "Large")</f>
        <v>Small</v>
      </c>
      <c r="AD216" s="30" t="str">
        <f>_xlfn.LET(_xlpm.expiry,_xlfn.XLOOKUP(Table5[[#This Row],[PromoCode]],Promo_Codes!$A$2:$A$9,Promo_Codes!$F$2:$F$9,DATE(2099,1,1)),IF(Table5[[#This Row],[OrderDate]]&gt;_xlpm.expiry,"Expired Code Used","Valid"))</f>
        <v>Valid</v>
      </c>
    </row>
    <row r="217" spans="1:30" x14ac:dyDescent="0.3">
      <c r="A217" s="28" t="s">
        <v>786</v>
      </c>
      <c r="B217" s="27">
        <v>45995</v>
      </c>
      <c r="C217" s="28" t="s">
        <v>338</v>
      </c>
      <c r="D217" s="28" t="s">
        <v>1191</v>
      </c>
      <c r="E217" s="27">
        <v>45964</v>
      </c>
      <c r="F217" s="27" t="str">
        <f t="shared" si="9"/>
        <v>Returning</v>
      </c>
      <c r="G217" s="28" t="s">
        <v>135</v>
      </c>
      <c r="H217" s="28" t="s">
        <v>146</v>
      </c>
      <c r="I217" s="28" t="s">
        <v>147</v>
      </c>
      <c r="J217" s="28" t="s">
        <v>787</v>
      </c>
      <c r="K217" s="29">
        <v>2</v>
      </c>
      <c r="L217" s="28" t="s">
        <v>139</v>
      </c>
      <c r="M217" s="28" t="s">
        <v>140</v>
      </c>
      <c r="N217" s="28" t="s">
        <v>518</v>
      </c>
      <c r="O217" s="28" t="s">
        <v>130</v>
      </c>
      <c r="P217" s="28" t="str">
        <f t="shared" si="10"/>
        <v/>
      </c>
      <c r="Q217" s="29">
        <v>5</v>
      </c>
      <c r="R217" s="29">
        <v>25</v>
      </c>
      <c r="S217" s="28"/>
      <c r="T217" s="30" t="str">
        <f>_xlfn.CONCAT(Table5[[#This Row],[OrderID]]," | ",Table5[[#This Row],[City]]," | ",Table5[[#This Row],[ItemName]])</f>
        <v>ORD-1213 | Kathmandu | LADDU (5 PCS)</v>
      </c>
      <c r="U217" s="30" t="str">
        <f>UPPER(Table5[[#This Row],[City]])</f>
        <v>KATHMANDU</v>
      </c>
      <c r="V217" s="30" t="str">
        <f>LOWER(Table5[[#This Row],[PaymentMethod]])</f>
        <v>cash on delivery</v>
      </c>
      <c r="W217" s="30" cm="1">
        <f t="array" ref="W217">_xlfn.XLOOKUP(TRIM(Table5[[#This Row],[ItemName]]), TRIM(Menu_Price_List_tbl[ItemName]),Menu_Price_List_tbl[UnitPrice_NPR])</f>
        <v>180</v>
      </c>
      <c r="X217" s="31">
        <f t="shared" si="11"/>
        <v>360</v>
      </c>
      <c r="Y217" s="30">
        <f>_xlfn.XLOOKUP(Table5[[#This Row],[City]],City_Delivery_Fee_tbl[City],City_Delivery_Fee_tbl[BaseDeliveryFee_NPR])</f>
        <v>50</v>
      </c>
      <c r="Z21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217" s="31">
        <f>Table5[[#This Row],[Order Amount]]+Table5[[#This Row],[Delivery Fee]]-Table5[[#This Row],[Discount Amount]]</f>
        <v>310</v>
      </c>
      <c r="AB217" s="30" t="str">
        <f>_xlfn.XLOOKUP(Table5[[#This Row],[RiderID]], Rider_Directory!$F$2:$F$26, Rider_Directory!$B$2:$B$26)</f>
        <v>Kathmandu</v>
      </c>
      <c r="AC217" s="30" t="str" cm="1">
        <f t="array" ref="AC217">_xlfn.IFS(Table5[[#This Row],[Final Amount]]&lt;500, "Small", Table5[[#This Row],[Final Amount]]&lt;=1000, "Medium", Table5[[#This Row],[Final Amount]]&gt;1000, "Large")</f>
        <v>Small</v>
      </c>
      <c r="AD217" s="30" t="str">
        <f>_xlfn.LET(_xlpm.expiry,_xlfn.XLOOKUP(Table5[[#This Row],[PromoCode]],Promo_Codes!$A$2:$A$9,Promo_Codes!$F$2:$F$9,DATE(2099,1,1)),IF(Table5[[#This Row],[OrderDate]]&gt;_xlpm.expiry,"Expired Code Used","Valid"))</f>
        <v>Valid</v>
      </c>
    </row>
    <row r="218" spans="1:30" x14ac:dyDescent="0.3">
      <c r="A218" s="28" t="s">
        <v>797</v>
      </c>
      <c r="B218" s="27">
        <v>45996</v>
      </c>
      <c r="C218" s="28" t="s">
        <v>860</v>
      </c>
      <c r="D218" s="28" t="s">
        <v>1267</v>
      </c>
      <c r="E218" s="27">
        <v>45950</v>
      </c>
      <c r="F218" s="27" t="str">
        <f t="shared" si="9"/>
        <v>Returning</v>
      </c>
      <c r="G218" s="28" t="s">
        <v>145</v>
      </c>
      <c r="H218" s="28" t="s">
        <v>232</v>
      </c>
      <c r="I218" s="28" t="s">
        <v>233</v>
      </c>
      <c r="J218" s="28" t="s">
        <v>246</v>
      </c>
      <c r="K218" s="29">
        <v>2</v>
      </c>
      <c r="L218" s="28" t="s">
        <v>450</v>
      </c>
      <c r="M218" s="28" t="s">
        <v>128</v>
      </c>
      <c r="N218" s="28"/>
      <c r="O218" s="28" t="s">
        <v>130</v>
      </c>
      <c r="P218" s="28" t="str">
        <f t="shared" si="10"/>
        <v/>
      </c>
      <c r="Q218" s="29">
        <v>2</v>
      </c>
      <c r="R218" s="29">
        <v>57</v>
      </c>
      <c r="S218" s="28"/>
      <c r="T218" s="30" t="str">
        <f>_xlfn.CONCAT(Table5[[#This Row],[OrderID]]," | ",Table5[[#This Row],[City]]," | ",Table5[[#This Row],[ItemName]])</f>
        <v>ORD-1214 | Chitwan | Chicken Momo (Fried)</v>
      </c>
      <c r="U218" s="30" t="str">
        <f>UPPER(Table5[[#This Row],[City]])</f>
        <v>CHITWAN</v>
      </c>
      <c r="V218" s="30" t="str">
        <f>LOWER(Table5[[#This Row],[PaymentMethod]])</f>
        <v>esewa</v>
      </c>
      <c r="W218" s="30" cm="1">
        <f t="array" ref="W218">_xlfn.XLOOKUP(TRIM(Table5[[#This Row],[ItemName]]), TRIM(Menu_Price_List_tbl[ItemName]),Menu_Price_List_tbl[UnitPrice_NPR])</f>
        <v>210</v>
      </c>
      <c r="X218" s="31">
        <f t="shared" si="11"/>
        <v>420</v>
      </c>
      <c r="Y218" s="30">
        <f>_xlfn.XLOOKUP(Table5[[#This Row],[City]],City_Delivery_Fee_tbl[City],City_Delivery_Fee_tbl[BaseDeliveryFee_NPR])</f>
        <v>80</v>
      </c>
      <c r="Z21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18" s="31">
        <f>Table5[[#This Row],[Order Amount]]+Table5[[#This Row],[Delivery Fee]]-Table5[[#This Row],[Discount Amount]]</f>
        <v>500</v>
      </c>
      <c r="AB218" s="30" t="str">
        <f>_xlfn.XLOOKUP(Table5[[#This Row],[RiderID]], Rider_Directory!$F$2:$F$26, Rider_Directory!$B$2:$B$26)</f>
        <v>Chitwan</v>
      </c>
      <c r="AC218" s="30" t="str" cm="1">
        <f t="array" ref="AC218">_xlfn.IFS(Table5[[#This Row],[Final Amount]]&lt;500, "Small", Table5[[#This Row],[Final Amount]]&lt;=1000, "Medium", Table5[[#This Row],[Final Amount]]&gt;1000, "Large")</f>
        <v>Medium</v>
      </c>
      <c r="AD218" s="30" t="str">
        <f>_xlfn.LET(_xlpm.expiry,_xlfn.XLOOKUP(Table5[[#This Row],[PromoCode]],Promo_Codes!$A$2:$A$9,Promo_Codes!$F$2:$F$9,DATE(2099,1,1)),IF(Table5[[#This Row],[OrderDate]]&gt;_xlpm.expiry,"Expired Code Used","Valid"))</f>
        <v>Valid</v>
      </c>
    </row>
    <row r="219" spans="1:30" x14ac:dyDescent="0.3">
      <c r="A219" s="28" t="s">
        <v>855</v>
      </c>
      <c r="B219" s="27">
        <v>45996</v>
      </c>
      <c r="C219" s="28" t="s">
        <v>626</v>
      </c>
      <c r="D219" s="28" t="s">
        <v>1181</v>
      </c>
      <c r="E219" s="27">
        <v>45873</v>
      </c>
      <c r="F219" s="27" t="str">
        <f t="shared" si="9"/>
        <v>Returning</v>
      </c>
      <c r="G219" s="28" t="s">
        <v>123</v>
      </c>
      <c r="H219" s="28" t="s">
        <v>232</v>
      </c>
      <c r="I219" s="28" t="s">
        <v>233</v>
      </c>
      <c r="J219" s="28" t="s">
        <v>468</v>
      </c>
      <c r="K219" s="29">
        <v>1</v>
      </c>
      <c r="L219" s="28" t="s">
        <v>166</v>
      </c>
      <c r="M219" s="28" t="s">
        <v>159</v>
      </c>
      <c r="N219" s="28"/>
      <c r="O219" s="28"/>
      <c r="P219" s="28" t="str">
        <f t="shared" si="10"/>
        <v xml:space="preserve"> NEED REVIEW</v>
      </c>
      <c r="Q219" s="29">
        <v>4</v>
      </c>
      <c r="R219" s="29">
        <v>29</v>
      </c>
      <c r="S219" s="28"/>
      <c r="T219" s="30" t="str">
        <f>_xlfn.CONCAT(Table5[[#This Row],[OrderID]]," | ",Table5[[#This Row],[City]]," | ",Table5[[#This Row],[ItemName]])</f>
        <v>ORD-1215 | Biratnagar | veg momo (fried)</v>
      </c>
      <c r="U219" s="30" t="str">
        <f>UPPER(Table5[[#This Row],[City]])</f>
        <v>BIRATNAGAR</v>
      </c>
      <c r="V219" s="30" t="str">
        <f>LOWER(Table5[[#This Row],[PaymentMethod]])</f>
        <v>khalti</v>
      </c>
      <c r="W219" s="30" cm="1">
        <f t="array" ref="W219">_xlfn.XLOOKUP(TRIM(Table5[[#This Row],[ItemName]]), TRIM(Menu_Price_List_tbl[ItemName]),Menu_Price_List_tbl[UnitPrice_NPR])</f>
        <v>160</v>
      </c>
      <c r="X219" s="31">
        <f t="shared" si="11"/>
        <v>160</v>
      </c>
      <c r="Y219" s="30">
        <f>_xlfn.XLOOKUP(Table5[[#This Row],[City]],City_Delivery_Fee_tbl[City],City_Delivery_Fee_tbl[BaseDeliveryFee_NPR])</f>
        <v>90</v>
      </c>
      <c r="Z21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19" s="31">
        <f>Table5[[#This Row],[Order Amount]]+Table5[[#This Row],[Delivery Fee]]-Table5[[#This Row],[Discount Amount]]</f>
        <v>250</v>
      </c>
      <c r="AB219" s="30" t="str">
        <f>_xlfn.XLOOKUP(Table5[[#This Row],[RiderID]], Rider_Directory!$F$2:$F$26, Rider_Directory!$B$2:$B$26)</f>
        <v>Biratnagar</v>
      </c>
      <c r="AC219" s="30" t="str" cm="1">
        <f t="array" ref="AC219">_xlfn.IFS(Table5[[#This Row],[Final Amount]]&lt;500, "Small", Table5[[#This Row],[Final Amount]]&lt;=1000, "Medium", Table5[[#This Row],[Final Amount]]&gt;1000, "Large")</f>
        <v>Small</v>
      </c>
      <c r="AD219" s="30" t="str">
        <f>_xlfn.LET(_xlpm.expiry,_xlfn.XLOOKUP(Table5[[#This Row],[PromoCode]],Promo_Codes!$A$2:$A$9,Promo_Codes!$F$2:$F$9,DATE(2099,1,1)),IF(Table5[[#This Row],[OrderDate]]&gt;_xlpm.expiry,"Expired Code Used","Valid"))</f>
        <v>Valid</v>
      </c>
    </row>
    <row r="220" spans="1:30" x14ac:dyDescent="0.3">
      <c r="A220" s="28" t="s">
        <v>664</v>
      </c>
      <c r="B220" s="27">
        <v>45997</v>
      </c>
      <c r="C220" s="28" t="s">
        <v>665</v>
      </c>
      <c r="D220" s="28" t="s">
        <v>1247</v>
      </c>
      <c r="E220" s="27">
        <v>45957</v>
      </c>
      <c r="F220" s="27" t="str">
        <f t="shared" si="9"/>
        <v>Returning</v>
      </c>
      <c r="G220" s="28" t="s">
        <v>177</v>
      </c>
      <c r="H220" s="28" t="s">
        <v>124</v>
      </c>
      <c r="I220" s="28" t="s">
        <v>125</v>
      </c>
      <c r="J220" s="28" t="s">
        <v>667</v>
      </c>
      <c r="K220" s="29">
        <v>3</v>
      </c>
      <c r="L220" s="28" t="s">
        <v>181</v>
      </c>
      <c r="M220" s="28" t="s">
        <v>247</v>
      </c>
      <c r="N220" s="28" t="s">
        <v>518</v>
      </c>
      <c r="O220" s="28" t="s">
        <v>130</v>
      </c>
      <c r="P220" s="28" t="str">
        <f t="shared" si="10"/>
        <v/>
      </c>
      <c r="Q220" s="29">
        <v>4</v>
      </c>
      <c r="R220" s="29">
        <v>24</v>
      </c>
      <c r="S220" s="28"/>
      <c r="T220" s="30" t="str">
        <f>_xlfn.CONCAT(Table5[[#This Row],[OrderID]]," | ",Table5[[#This Row],[City]]," | ",Table5[[#This Row],[ItemName]])</f>
        <v>ORD-1216 | Bhaktapur | bara</v>
      </c>
      <c r="U220" s="30" t="str">
        <f>UPPER(Table5[[#This Row],[City]])</f>
        <v>BHAKTAPUR</v>
      </c>
      <c r="V220" s="30" t="str">
        <f>LOWER(Table5[[#This Row],[PaymentMethod]])</f>
        <v>ime pay</v>
      </c>
      <c r="W220" s="30" cm="1">
        <f t="array" ref="W220">_xlfn.XLOOKUP(TRIM(Table5[[#This Row],[ItemName]]), TRIM(Menu_Price_List_tbl[ItemName]),Menu_Price_List_tbl[UnitPrice_NPR])</f>
        <v>160</v>
      </c>
      <c r="X220" s="31">
        <f t="shared" si="11"/>
        <v>480</v>
      </c>
      <c r="Y220" s="30">
        <f>_xlfn.XLOOKUP(Table5[[#This Row],[City]],City_Delivery_Fee_tbl[City],City_Delivery_Fee_tbl[BaseDeliveryFee_NPR])</f>
        <v>55</v>
      </c>
      <c r="Z22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220" s="31">
        <f>Table5[[#This Row],[Order Amount]]+Table5[[#This Row],[Delivery Fee]]-Table5[[#This Row],[Discount Amount]]</f>
        <v>435</v>
      </c>
      <c r="AB220" s="30" t="str">
        <f>_xlfn.XLOOKUP(Table5[[#This Row],[RiderID]], Rider_Directory!$F$2:$F$26, Rider_Directory!$B$2:$B$26)</f>
        <v>Bhaktapur</v>
      </c>
      <c r="AC220" s="30" t="str" cm="1">
        <f t="array" ref="AC220">_xlfn.IFS(Table5[[#This Row],[Final Amount]]&lt;500, "Small", Table5[[#This Row],[Final Amount]]&lt;=1000, "Medium", Table5[[#This Row],[Final Amount]]&gt;1000, "Large")</f>
        <v>Small</v>
      </c>
      <c r="AD220" s="30" t="str">
        <f>_xlfn.LET(_xlpm.expiry,_xlfn.XLOOKUP(Table5[[#This Row],[PromoCode]],Promo_Codes!$A$2:$A$9,Promo_Codes!$F$2:$F$9,DATE(2099,1,1)),IF(Table5[[#This Row],[OrderDate]]&gt;_xlpm.expiry,"Expired Code Used","Valid"))</f>
        <v>Valid</v>
      </c>
    </row>
    <row r="221" spans="1:30" x14ac:dyDescent="0.3">
      <c r="A221" s="28" t="s">
        <v>509</v>
      </c>
      <c r="B221" s="27">
        <v>45997</v>
      </c>
      <c r="C221" s="28" t="s">
        <v>184</v>
      </c>
      <c r="D221" s="28" t="s">
        <v>1166</v>
      </c>
      <c r="E221" s="27">
        <v>45909</v>
      </c>
      <c r="F221" s="27" t="str">
        <f t="shared" si="9"/>
        <v>Returning</v>
      </c>
      <c r="G221" s="28" t="s">
        <v>206</v>
      </c>
      <c r="H221" s="28" t="s">
        <v>178</v>
      </c>
      <c r="I221" s="28" t="s">
        <v>179</v>
      </c>
      <c r="J221" s="28" t="s">
        <v>297</v>
      </c>
      <c r="K221" s="29">
        <v>3</v>
      </c>
      <c r="L221" s="28" t="s">
        <v>353</v>
      </c>
      <c r="M221" s="28" t="s">
        <v>159</v>
      </c>
      <c r="N221" s="28"/>
      <c r="O221" s="28" t="s">
        <v>130</v>
      </c>
      <c r="P221" s="28" t="str">
        <f t="shared" si="10"/>
        <v/>
      </c>
      <c r="Q221" s="29">
        <v>5</v>
      </c>
      <c r="R221" s="29">
        <v>31</v>
      </c>
      <c r="S221" s="28"/>
      <c r="T221" s="30" t="str">
        <f>_xlfn.CONCAT(Table5[[#This Row],[OrderID]]," | ",Table5[[#This Row],[City]]," | ",Table5[[#This Row],[ItemName]])</f>
        <v>ORD-1217 | Pokhara | Chicken Chowmein</v>
      </c>
      <c r="U221" s="30" t="str">
        <f>UPPER(Table5[[#This Row],[City]])</f>
        <v>POKHARA</v>
      </c>
      <c r="V221" s="30" t="str">
        <f>LOWER(Table5[[#This Row],[PaymentMethod]])</f>
        <v>khalti</v>
      </c>
      <c r="W221" s="30" cm="1">
        <f t="array" ref="W221">_xlfn.XLOOKUP(TRIM(Table5[[#This Row],[ItemName]]), TRIM(Menu_Price_List_tbl[ItemName]),Menu_Price_List_tbl[UnitPrice_NPR])</f>
        <v>250</v>
      </c>
      <c r="X221" s="31">
        <f t="shared" si="11"/>
        <v>750</v>
      </c>
      <c r="Y221" s="30">
        <f>_xlfn.XLOOKUP(Table5[[#This Row],[City]],City_Delivery_Fee_tbl[City],City_Delivery_Fee_tbl[BaseDeliveryFee_NPR])</f>
        <v>70</v>
      </c>
      <c r="Z22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21" s="31">
        <f>Table5[[#This Row],[Order Amount]]+Table5[[#This Row],[Delivery Fee]]-Table5[[#This Row],[Discount Amount]]</f>
        <v>820</v>
      </c>
      <c r="AB221" s="30" t="str">
        <f>_xlfn.XLOOKUP(Table5[[#This Row],[RiderID]], Rider_Directory!$F$2:$F$26, Rider_Directory!$B$2:$B$26)</f>
        <v>Pokhara</v>
      </c>
      <c r="AC221" s="30" t="str" cm="1">
        <f t="array" ref="AC221">_xlfn.IFS(Table5[[#This Row],[Final Amount]]&lt;500, "Small", Table5[[#This Row],[Final Amount]]&lt;=1000, "Medium", Table5[[#This Row],[Final Amount]]&gt;1000, "Large")</f>
        <v>Medium</v>
      </c>
      <c r="AD221" s="30" t="str">
        <f>_xlfn.LET(_xlpm.expiry,_xlfn.XLOOKUP(Table5[[#This Row],[PromoCode]],Promo_Codes!$A$2:$A$9,Promo_Codes!$F$2:$F$9,DATE(2099,1,1)),IF(Table5[[#This Row],[OrderDate]]&gt;_xlpm.expiry,"Expired Code Used","Valid"))</f>
        <v>Valid</v>
      </c>
    </row>
    <row r="222" spans="1:30" x14ac:dyDescent="0.3">
      <c r="A222" s="28" t="s">
        <v>698</v>
      </c>
      <c r="B222" s="27">
        <v>45998</v>
      </c>
      <c r="C222" s="28" t="s">
        <v>253</v>
      </c>
      <c r="D222" s="28" t="s">
        <v>1177</v>
      </c>
      <c r="E222" s="27">
        <v>45885</v>
      </c>
      <c r="F222" s="27" t="str">
        <f t="shared" si="9"/>
        <v>Returning</v>
      </c>
      <c r="G222" s="28" t="s">
        <v>145</v>
      </c>
      <c r="H222" s="28" t="s">
        <v>339</v>
      </c>
      <c r="I222" s="28" t="s">
        <v>233</v>
      </c>
      <c r="J222" s="28" t="s">
        <v>363</v>
      </c>
      <c r="K222" s="29">
        <v>2</v>
      </c>
      <c r="L222" s="28" t="s">
        <v>450</v>
      </c>
      <c r="M222" s="28" t="s">
        <v>247</v>
      </c>
      <c r="N222" s="28" t="s">
        <v>336</v>
      </c>
      <c r="O222" s="28" t="s">
        <v>130</v>
      </c>
      <c r="P222" s="28" t="str">
        <f t="shared" si="10"/>
        <v/>
      </c>
      <c r="Q222" s="29">
        <v>5</v>
      </c>
      <c r="R222" s="29">
        <v>53</v>
      </c>
      <c r="S222" s="28" t="s">
        <v>131</v>
      </c>
      <c r="T222" s="30" t="str">
        <f>_xlfn.CONCAT(Table5[[#This Row],[OrderID]]," | ",Table5[[#This Row],[City]]," | ",Table5[[#This Row],[ItemName]])</f>
        <v>ORD-1218 | Chitwan | Jhol Momo</v>
      </c>
      <c r="U222" s="30" t="str">
        <f>UPPER(Table5[[#This Row],[City]])</f>
        <v>CHITWAN</v>
      </c>
      <c r="V222" s="30" t="str">
        <f>LOWER(Table5[[#This Row],[PaymentMethod]])</f>
        <v>ime pay</v>
      </c>
      <c r="W222" s="30" cm="1">
        <f t="array" ref="W222">_xlfn.XLOOKUP(TRIM(Table5[[#This Row],[ItemName]]), TRIM(Menu_Price_List_tbl[ItemName]),Menu_Price_List_tbl[UnitPrice_NPR])</f>
        <v>200</v>
      </c>
      <c r="X222" s="31">
        <f t="shared" si="11"/>
        <v>400</v>
      </c>
      <c r="Y222" s="30">
        <f>_xlfn.XLOOKUP(Table5[[#This Row],[City]],City_Delivery_Fee_tbl[City],City_Delivery_Fee_tbl[BaseDeliveryFee_NPR])</f>
        <v>80</v>
      </c>
      <c r="Z22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222" s="31">
        <f>Table5[[#This Row],[Order Amount]]+Table5[[#This Row],[Delivery Fee]]-Table5[[#This Row],[Discount Amount]]</f>
        <v>430</v>
      </c>
      <c r="AB222" s="30" t="str">
        <f>_xlfn.XLOOKUP(Table5[[#This Row],[RiderID]], Rider_Directory!$F$2:$F$26, Rider_Directory!$B$2:$B$26)</f>
        <v>Chitwan</v>
      </c>
      <c r="AC222" s="30" t="str" cm="1">
        <f t="array" ref="AC222">_xlfn.IFS(Table5[[#This Row],[Final Amount]]&lt;500, "Small", Table5[[#This Row],[Final Amount]]&lt;=1000, "Medium", Table5[[#This Row],[Final Amount]]&gt;1000, "Large")</f>
        <v>Small</v>
      </c>
      <c r="AD222" s="30" t="str">
        <f>_xlfn.LET(_xlpm.expiry,_xlfn.XLOOKUP(Table5[[#This Row],[PromoCode]],Promo_Codes!$A$2:$A$9,Promo_Codes!$F$2:$F$9,DATE(2099,1,1)),IF(Table5[[#This Row],[OrderDate]]&gt;_xlpm.expiry,"Expired Code Used","Valid"))</f>
        <v>Valid</v>
      </c>
    </row>
    <row r="223" spans="1:30" x14ac:dyDescent="0.3">
      <c r="A223" s="28" t="s">
        <v>981</v>
      </c>
      <c r="B223" s="27">
        <v>45998</v>
      </c>
      <c r="C223" s="28" t="s">
        <v>338</v>
      </c>
      <c r="D223" s="28" t="s">
        <v>1191</v>
      </c>
      <c r="E223" s="27">
        <v>45964</v>
      </c>
      <c r="F223" s="27" t="str">
        <f t="shared" si="9"/>
        <v>Returning</v>
      </c>
      <c r="G223" s="28" t="s">
        <v>145</v>
      </c>
      <c r="H223" s="28" t="s">
        <v>178</v>
      </c>
      <c r="I223" s="28" t="s">
        <v>179</v>
      </c>
      <c r="J223" s="28" t="s">
        <v>368</v>
      </c>
      <c r="K223" s="29">
        <v>1</v>
      </c>
      <c r="L223" s="28" t="s">
        <v>307</v>
      </c>
      <c r="M223" s="28" t="s">
        <v>128</v>
      </c>
      <c r="N223" s="28"/>
      <c r="O223" s="28" t="s">
        <v>279</v>
      </c>
      <c r="P223" s="28" t="str">
        <f t="shared" si="10"/>
        <v/>
      </c>
      <c r="Q223" s="28"/>
      <c r="R223" s="29">
        <v>53</v>
      </c>
      <c r="S223" s="28"/>
      <c r="T223" s="30" t="str">
        <f>_xlfn.CONCAT(Table5[[#This Row],[OrderID]]," | ",Table5[[#This Row],[City]]," | ",Table5[[#This Row],[ItemName]])</f>
        <v>ORD-1219 | Chitwan | Veg Burger</v>
      </c>
      <c r="U223" s="30" t="str">
        <f>UPPER(Table5[[#This Row],[City]])</f>
        <v>CHITWAN</v>
      </c>
      <c r="V223" s="30" t="str">
        <f>LOWER(Table5[[#This Row],[PaymentMethod]])</f>
        <v>esewa</v>
      </c>
      <c r="W223" s="30" cm="1">
        <f t="array" ref="W223">_xlfn.XLOOKUP(TRIM(Table5[[#This Row],[ItemName]]), TRIM(Menu_Price_List_tbl[ItemName]),Menu_Price_List_tbl[UnitPrice_NPR])</f>
        <v>220</v>
      </c>
      <c r="X223" s="31">
        <f t="shared" si="11"/>
        <v>220</v>
      </c>
      <c r="Y223" s="30">
        <f>_xlfn.XLOOKUP(Table5[[#This Row],[City]],City_Delivery_Fee_tbl[City],City_Delivery_Fee_tbl[BaseDeliveryFee_NPR])</f>
        <v>80</v>
      </c>
      <c r="Z22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23" s="31">
        <f>Table5[[#This Row],[Order Amount]]+Table5[[#This Row],[Delivery Fee]]-Table5[[#This Row],[Discount Amount]]</f>
        <v>300</v>
      </c>
      <c r="AB223" s="30" t="str">
        <f>_xlfn.XLOOKUP(Table5[[#This Row],[RiderID]], Rider_Directory!$F$2:$F$26, Rider_Directory!$B$2:$B$26)</f>
        <v>Chitwan</v>
      </c>
      <c r="AC223" s="30" t="str" cm="1">
        <f t="array" ref="AC223">_xlfn.IFS(Table5[[#This Row],[Final Amount]]&lt;500, "Small", Table5[[#This Row],[Final Amount]]&lt;=1000, "Medium", Table5[[#This Row],[Final Amount]]&gt;1000, "Large")</f>
        <v>Small</v>
      </c>
      <c r="AD223" s="30" t="str">
        <f>_xlfn.LET(_xlpm.expiry,_xlfn.XLOOKUP(Table5[[#This Row],[PromoCode]],Promo_Codes!$A$2:$A$9,Promo_Codes!$F$2:$F$9,DATE(2099,1,1)),IF(Table5[[#This Row],[OrderDate]]&gt;_xlpm.expiry,"Expired Code Used","Valid"))</f>
        <v>Valid</v>
      </c>
    </row>
    <row r="224" spans="1:30" x14ac:dyDescent="0.3">
      <c r="A224" s="28" t="s">
        <v>746</v>
      </c>
      <c r="B224" s="27">
        <v>45999</v>
      </c>
      <c r="C224" s="28" t="s">
        <v>1145</v>
      </c>
      <c r="D224" s="28" t="s">
        <v>1260</v>
      </c>
      <c r="E224" s="27">
        <v>45997</v>
      </c>
      <c r="F224" s="27" t="str">
        <f t="shared" si="9"/>
        <v>New</v>
      </c>
      <c r="G224" s="28" t="s">
        <v>198</v>
      </c>
      <c r="H224" s="28" t="s">
        <v>178</v>
      </c>
      <c r="I224" s="28" t="s">
        <v>179</v>
      </c>
      <c r="J224" s="28" t="s">
        <v>398</v>
      </c>
      <c r="K224" s="29">
        <v>1</v>
      </c>
      <c r="L224" s="28" t="s">
        <v>251</v>
      </c>
      <c r="M224" s="28" t="s">
        <v>159</v>
      </c>
      <c r="N224" s="28"/>
      <c r="O224" s="28" t="s">
        <v>130</v>
      </c>
      <c r="P224" s="28" t="str">
        <f t="shared" si="10"/>
        <v/>
      </c>
      <c r="Q224" s="29">
        <v>4</v>
      </c>
      <c r="R224" s="29">
        <v>47</v>
      </c>
      <c r="S224" s="28" t="s">
        <v>291</v>
      </c>
      <c r="T224" s="30" t="str">
        <f>_xlfn.CONCAT(Table5[[#This Row],[OrderID]]," | ",Table5[[#This Row],[City]]," | ",Table5[[#This Row],[ItemName]])</f>
        <v>ORD-1220 | Lalitpur | chicken burger</v>
      </c>
      <c r="U224" s="30" t="str">
        <f>UPPER(Table5[[#This Row],[City]])</f>
        <v>LALITPUR</v>
      </c>
      <c r="V224" s="30" t="str">
        <f>LOWER(Table5[[#This Row],[PaymentMethod]])</f>
        <v>khalti</v>
      </c>
      <c r="W224" s="30" cm="1">
        <f t="array" ref="W224">_xlfn.XLOOKUP(TRIM(Table5[[#This Row],[ItemName]]), TRIM(Menu_Price_List_tbl[ItemName]),Menu_Price_List_tbl[UnitPrice_NPR])</f>
        <v>280</v>
      </c>
      <c r="X224" s="31">
        <f t="shared" si="11"/>
        <v>280</v>
      </c>
      <c r="Y224" s="30">
        <f>_xlfn.XLOOKUP(Table5[[#This Row],[City]],City_Delivery_Fee_tbl[City],City_Delivery_Fee_tbl[BaseDeliveryFee_NPR])</f>
        <v>50</v>
      </c>
      <c r="Z22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24" s="31">
        <f>Table5[[#This Row],[Order Amount]]+Table5[[#This Row],[Delivery Fee]]-Table5[[#This Row],[Discount Amount]]</f>
        <v>330</v>
      </c>
      <c r="AB224" s="30" t="str">
        <f>_xlfn.XLOOKUP(Table5[[#This Row],[RiderID]], Rider_Directory!$F$2:$F$26, Rider_Directory!$B$2:$B$26)</f>
        <v>Lalitpur</v>
      </c>
      <c r="AC224" s="30" t="str" cm="1">
        <f t="array" ref="AC224">_xlfn.IFS(Table5[[#This Row],[Final Amount]]&lt;500, "Small", Table5[[#This Row],[Final Amount]]&lt;=1000, "Medium", Table5[[#This Row],[Final Amount]]&gt;1000, "Large")</f>
        <v>Small</v>
      </c>
      <c r="AD224" s="30" t="str">
        <f>_xlfn.LET(_xlpm.expiry,_xlfn.XLOOKUP(Table5[[#This Row],[PromoCode]],Promo_Codes!$A$2:$A$9,Promo_Codes!$F$2:$F$9,DATE(2099,1,1)),IF(Table5[[#This Row],[OrderDate]]&gt;_xlpm.expiry,"Expired Code Used","Valid"))</f>
        <v>Valid</v>
      </c>
    </row>
    <row r="225" spans="1:30" x14ac:dyDescent="0.3">
      <c r="A225" s="28" t="s">
        <v>942</v>
      </c>
      <c r="B225" s="27">
        <v>46000</v>
      </c>
      <c r="C225" s="28" t="s">
        <v>1122</v>
      </c>
      <c r="D225" s="28" t="s">
        <v>1187</v>
      </c>
      <c r="E225" s="27">
        <v>46000</v>
      </c>
      <c r="F225" s="27" t="str">
        <f t="shared" si="9"/>
        <v>New</v>
      </c>
      <c r="G225" s="28" t="s">
        <v>198</v>
      </c>
      <c r="H225" s="28" t="s">
        <v>178</v>
      </c>
      <c r="I225" s="28" t="s">
        <v>179</v>
      </c>
      <c r="J225" s="28" t="s">
        <v>368</v>
      </c>
      <c r="K225" s="29">
        <v>2</v>
      </c>
      <c r="L225" s="28" t="s">
        <v>213</v>
      </c>
      <c r="M225" s="28" t="s">
        <v>159</v>
      </c>
      <c r="N225" s="28" t="s">
        <v>336</v>
      </c>
      <c r="O225" s="28" t="s">
        <v>130</v>
      </c>
      <c r="P225" s="28" t="str">
        <f t="shared" si="10"/>
        <v/>
      </c>
      <c r="Q225" s="29">
        <v>4</v>
      </c>
      <c r="R225" s="29">
        <v>24</v>
      </c>
      <c r="S225" s="28" t="s">
        <v>141</v>
      </c>
      <c r="T225" s="30" t="str">
        <f>_xlfn.CONCAT(Table5[[#This Row],[OrderID]]," | ",Table5[[#This Row],[City]]," | ",Table5[[#This Row],[ItemName]])</f>
        <v>ORD-1221 | Lalitpur | Veg Burger</v>
      </c>
      <c r="U225" s="30" t="str">
        <f>UPPER(Table5[[#This Row],[City]])</f>
        <v>LALITPUR</v>
      </c>
      <c r="V225" s="30" t="str">
        <f>LOWER(Table5[[#This Row],[PaymentMethod]])</f>
        <v>khalti</v>
      </c>
      <c r="W225" s="30" cm="1">
        <f t="array" ref="W225">_xlfn.XLOOKUP(TRIM(Table5[[#This Row],[ItemName]]), TRIM(Menu_Price_List_tbl[ItemName]),Menu_Price_List_tbl[UnitPrice_NPR])</f>
        <v>220</v>
      </c>
      <c r="X225" s="31">
        <f t="shared" si="11"/>
        <v>440</v>
      </c>
      <c r="Y225" s="30">
        <f>_xlfn.XLOOKUP(Table5[[#This Row],[City]],City_Delivery_Fee_tbl[City],City_Delivery_Fee_tbl[BaseDeliveryFee_NPR])</f>
        <v>50</v>
      </c>
      <c r="Z22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225" s="31">
        <f>Table5[[#This Row],[Order Amount]]+Table5[[#This Row],[Delivery Fee]]-Table5[[#This Row],[Discount Amount]]</f>
        <v>440</v>
      </c>
      <c r="AB225" s="30" t="str">
        <f>_xlfn.XLOOKUP(Table5[[#This Row],[RiderID]], Rider_Directory!$F$2:$F$26, Rider_Directory!$B$2:$B$26)</f>
        <v>Lalitpur</v>
      </c>
      <c r="AC225" s="30" t="str" cm="1">
        <f t="array" ref="AC225">_xlfn.IFS(Table5[[#This Row],[Final Amount]]&lt;500, "Small", Table5[[#This Row],[Final Amount]]&lt;=1000, "Medium", Table5[[#This Row],[Final Amount]]&gt;1000, "Large")</f>
        <v>Small</v>
      </c>
      <c r="AD225" s="30" t="str">
        <f>_xlfn.LET(_xlpm.expiry,_xlfn.XLOOKUP(Table5[[#This Row],[PromoCode]],Promo_Codes!$A$2:$A$9,Promo_Codes!$F$2:$F$9,DATE(2099,1,1)),IF(Table5[[#This Row],[OrderDate]]&gt;_xlpm.expiry,"Expired Code Used","Valid"))</f>
        <v>Valid</v>
      </c>
    </row>
    <row r="226" spans="1:30" x14ac:dyDescent="0.3">
      <c r="A226" s="28" t="s">
        <v>889</v>
      </c>
      <c r="B226" s="27">
        <v>46001</v>
      </c>
      <c r="C226" s="28" t="s">
        <v>561</v>
      </c>
      <c r="D226" s="28" t="s">
        <v>1275</v>
      </c>
      <c r="E226" s="27">
        <v>46000</v>
      </c>
      <c r="F226" s="27" t="str">
        <f t="shared" si="9"/>
        <v>New</v>
      </c>
      <c r="G226" s="28" t="s">
        <v>123</v>
      </c>
      <c r="H226" s="28" t="s">
        <v>232</v>
      </c>
      <c r="I226" s="28" t="s">
        <v>233</v>
      </c>
      <c r="J226" s="28" t="s">
        <v>891</v>
      </c>
      <c r="K226" s="29">
        <v>1</v>
      </c>
      <c r="L226" s="28" t="s">
        <v>166</v>
      </c>
      <c r="M226" s="28" t="s">
        <v>278</v>
      </c>
      <c r="N226" s="28"/>
      <c r="O226" s="28" t="s">
        <v>130</v>
      </c>
      <c r="P226" s="28" t="str">
        <f t="shared" si="10"/>
        <v/>
      </c>
      <c r="Q226" s="29">
        <v>5</v>
      </c>
      <c r="R226" s="29">
        <v>41</v>
      </c>
      <c r="S226" s="28" t="s">
        <v>141</v>
      </c>
      <c r="T226" s="30" t="str">
        <f>_xlfn.CONCAT(Table5[[#This Row],[OrderID]]," | ",Table5[[#This Row],[City]]," | ",Table5[[#This Row],[ItemName]])</f>
        <v>ORD-1222 | Biratnagar | CHICKEN MOMO (STEAMED)</v>
      </c>
      <c r="U226" s="30" t="str">
        <f>UPPER(Table5[[#This Row],[City]])</f>
        <v>BIRATNAGAR</v>
      </c>
      <c r="V226" s="30" t="str">
        <f>LOWER(Table5[[#This Row],[PaymentMethod]])</f>
        <v>connectips</v>
      </c>
      <c r="W226" s="30" cm="1">
        <f t="array" ref="W226">_xlfn.XLOOKUP(TRIM(Table5[[#This Row],[ItemName]]), TRIM(Menu_Price_List_tbl[ItemName]),Menu_Price_List_tbl[UnitPrice_NPR])</f>
        <v>190</v>
      </c>
      <c r="X226" s="31">
        <f t="shared" si="11"/>
        <v>190</v>
      </c>
      <c r="Y226" s="30">
        <f>_xlfn.XLOOKUP(Table5[[#This Row],[City]],City_Delivery_Fee_tbl[City],City_Delivery_Fee_tbl[BaseDeliveryFee_NPR])</f>
        <v>90</v>
      </c>
      <c r="Z22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26" s="31">
        <f>Table5[[#This Row],[Order Amount]]+Table5[[#This Row],[Delivery Fee]]-Table5[[#This Row],[Discount Amount]]</f>
        <v>280</v>
      </c>
      <c r="AB226" s="30" t="str">
        <f>_xlfn.XLOOKUP(Table5[[#This Row],[RiderID]], Rider_Directory!$F$2:$F$26, Rider_Directory!$B$2:$B$26)</f>
        <v>Biratnagar</v>
      </c>
      <c r="AC226" s="30" t="str" cm="1">
        <f t="array" ref="AC226">_xlfn.IFS(Table5[[#This Row],[Final Amount]]&lt;500, "Small", Table5[[#This Row],[Final Amount]]&lt;=1000, "Medium", Table5[[#This Row],[Final Amount]]&gt;1000, "Large")</f>
        <v>Small</v>
      </c>
      <c r="AD226" s="30" t="str">
        <f>_xlfn.LET(_xlpm.expiry,_xlfn.XLOOKUP(Table5[[#This Row],[PromoCode]],Promo_Codes!$A$2:$A$9,Promo_Codes!$F$2:$F$9,DATE(2099,1,1)),IF(Table5[[#This Row],[OrderDate]]&gt;_xlpm.expiry,"Expired Code Used","Valid"))</f>
        <v>Valid</v>
      </c>
    </row>
    <row r="227" spans="1:30" x14ac:dyDescent="0.3">
      <c r="A227" s="28" t="s">
        <v>568</v>
      </c>
      <c r="B227" s="27">
        <v>46001</v>
      </c>
      <c r="C227" s="28" t="s">
        <v>945</v>
      </c>
      <c r="D227" s="28" t="s">
        <v>1233</v>
      </c>
      <c r="E227" s="27">
        <v>45961</v>
      </c>
      <c r="F227" s="27" t="str">
        <f t="shared" si="9"/>
        <v>Returning</v>
      </c>
      <c r="G227" s="28" t="s">
        <v>145</v>
      </c>
      <c r="H227" s="28" t="s">
        <v>124</v>
      </c>
      <c r="I227" s="28" t="s">
        <v>125</v>
      </c>
      <c r="J227" s="28" t="s">
        <v>571</v>
      </c>
      <c r="K227" s="29">
        <v>1</v>
      </c>
      <c r="L227" s="28" t="s">
        <v>450</v>
      </c>
      <c r="M227" s="28" t="s">
        <v>140</v>
      </c>
      <c r="N227" s="28"/>
      <c r="O227" s="28" t="s">
        <v>130</v>
      </c>
      <c r="P227" s="28" t="str">
        <f t="shared" si="10"/>
        <v/>
      </c>
      <c r="Q227" s="29">
        <v>5</v>
      </c>
      <c r="R227" s="29">
        <v>47</v>
      </c>
      <c r="S227" s="28"/>
      <c r="T227" s="30" t="str">
        <f>_xlfn.CONCAT(Table5[[#This Row],[OrderID]]," | ",Table5[[#This Row],[City]]," | ",Table5[[#This Row],[ItemName]])</f>
        <v>ORD-1223 | Chitwan | Choila (Buff)</v>
      </c>
      <c r="U227" s="30" t="str">
        <f>UPPER(Table5[[#This Row],[City]])</f>
        <v>CHITWAN</v>
      </c>
      <c r="V227" s="30" t="str">
        <f>LOWER(Table5[[#This Row],[PaymentMethod]])</f>
        <v>cash on delivery</v>
      </c>
      <c r="W227" s="30" cm="1">
        <f t="array" ref="W227">_xlfn.XLOOKUP(TRIM(Table5[[#This Row],[ItemName]]), TRIM(Menu_Price_List_tbl[ItemName]),Menu_Price_List_tbl[UnitPrice_NPR])</f>
        <v>320</v>
      </c>
      <c r="X227" s="31">
        <f t="shared" si="11"/>
        <v>320</v>
      </c>
      <c r="Y227" s="30">
        <f>_xlfn.XLOOKUP(Table5[[#This Row],[City]],City_Delivery_Fee_tbl[City],City_Delivery_Fee_tbl[BaseDeliveryFee_NPR])</f>
        <v>80</v>
      </c>
      <c r="Z22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27" s="31">
        <f>Table5[[#This Row],[Order Amount]]+Table5[[#This Row],[Delivery Fee]]-Table5[[#This Row],[Discount Amount]]</f>
        <v>400</v>
      </c>
      <c r="AB227" s="30" t="str">
        <f>_xlfn.XLOOKUP(Table5[[#This Row],[RiderID]], Rider_Directory!$F$2:$F$26, Rider_Directory!$B$2:$B$26)</f>
        <v>Chitwan</v>
      </c>
      <c r="AC227" s="30" t="str" cm="1">
        <f t="array" ref="AC227">_xlfn.IFS(Table5[[#This Row],[Final Amount]]&lt;500, "Small", Table5[[#This Row],[Final Amount]]&lt;=1000, "Medium", Table5[[#This Row],[Final Amount]]&gt;1000, "Large")</f>
        <v>Small</v>
      </c>
      <c r="AD227" s="30" t="str">
        <f>_xlfn.LET(_xlpm.expiry,_xlfn.XLOOKUP(Table5[[#This Row],[PromoCode]],Promo_Codes!$A$2:$A$9,Promo_Codes!$F$2:$F$9,DATE(2099,1,1)),IF(Table5[[#This Row],[OrderDate]]&gt;_xlpm.expiry,"Expired Code Used","Valid"))</f>
        <v>Valid</v>
      </c>
    </row>
    <row r="228" spans="1:30" x14ac:dyDescent="0.3">
      <c r="A228" s="28" t="s">
        <v>376</v>
      </c>
      <c r="B228" s="27">
        <v>46001</v>
      </c>
      <c r="C228" s="28" t="s">
        <v>377</v>
      </c>
      <c r="D228" s="28" t="s">
        <v>1197</v>
      </c>
      <c r="E228" s="27">
        <v>45962</v>
      </c>
      <c r="F228" s="27" t="str">
        <f t="shared" si="9"/>
        <v>Returning</v>
      </c>
      <c r="G228" s="28" t="s">
        <v>177</v>
      </c>
      <c r="H228" s="28" t="s">
        <v>192</v>
      </c>
      <c r="I228" s="28" t="s">
        <v>137</v>
      </c>
      <c r="J228" s="28" t="s">
        <v>138</v>
      </c>
      <c r="K228" s="29">
        <v>1</v>
      </c>
      <c r="L228" s="28" t="s">
        <v>181</v>
      </c>
      <c r="M228" s="28" t="s">
        <v>128</v>
      </c>
      <c r="N228" s="28" t="s">
        <v>129</v>
      </c>
      <c r="O228" s="28" t="s">
        <v>130</v>
      </c>
      <c r="P228" s="28" t="str">
        <f t="shared" si="10"/>
        <v/>
      </c>
      <c r="Q228" s="29">
        <v>4</v>
      </c>
      <c r="R228" s="29">
        <v>33</v>
      </c>
      <c r="S228" s="28"/>
      <c r="T228" s="30" t="str">
        <f>_xlfn.CONCAT(Table5[[#This Row],[OrderID]]," | ",Table5[[#This Row],[City]]," | ",Table5[[#This Row],[ItemName]])</f>
        <v>ORD-1224 | Bhaktapur | Chicken Thakali Set</v>
      </c>
      <c r="U228" s="30" t="str">
        <f>UPPER(Table5[[#This Row],[City]])</f>
        <v>BHAKTAPUR</v>
      </c>
      <c r="V228" s="30" t="str">
        <f>LOWER(Table5[[#This Row],[PaymentMethod]])</f>
        <v>esewa</v>
      </c>
      <c r="W228" s="30" cm="1">
        <f t="array" ref="W228">_xlfn.XLOOKUP(TRIM(Table5[[#This Row],[ItemName]]), TRIM(Menu_Price_List_tbl[ItemName]),Menu_Price_List_tbl[UnitPrice_NPR])</f>
        <v>480</v>
      </c>
      <c r="X228" s="31">
        <f t="shared" si="11"/>
        <v>480</v>
      </c>
      <c r="Y228" s="30">
        <f>_xlfn.XLOOKUP(Table5[[#This Row],[City]],City_Delivery_Fee_tbl[City],City_Delivery_Fee_tbl[BaseDeliveryFee_NPR])</f>
        <v>55</v>
      </c>
      <c r="Z22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228" s="31">
        <f>Table5[[#This Row],[Order Amount]]+Table5[[#This Row],[Delivery Fee]]-Table5[[#This Row],[Discount Amount]]</f>
        <v>435</v>
      </c>
      <c r="AB228" s="30" t="str">
        <f>_xlfn.XLOOKUP(Table5[[#This Row],[RiderID]], Rider_Directory!$F$2:$F$26, Rider_Directory!$B$2:$B$26)</f>
        <v>Bhaktapur</v>
      </c>
      <c r="AC228" s="30" t="str" cm="1">
        <f t="array" ref="AC228">_xlfn.IFS(Table5[[#This Row],[Final Amount]]&lt;500, "Small", Table5[[#This Row],[Final Amount]]&lt;=1000, "Medium", Table5[[#This Row],[Final Amount]]&gt;1000, "Large")</f>
        <v>Small</v>
      </c>
      <c r="AD228" s="30" t="str">
        <f>_xlfn.LET(_xlpm.expiry,_xlfn.XLOOKUP(Table5[[#This Row],[PromoCode]],Promo_Codes!$A$2:$A$9,Promo_Codes!$F$2:$F$9,DATE(2099,1,1)),IF(Table5[[#This Row],[OrderDate]]&gt;_xlpm.expiry,"Expired Code Used","Valid"))</f>
        <v>Expired Code Used</v>
      </c>
    </row>
    <row r="229" spans="1:30" x14ac:dyDescent="0.3">
      <c r="A229" s="28" t="s">
        <v>346</v>
      </c>
      <c r="B229" s="27">
        <v>46002</v>
      </c>
      <c r="C229" s="28" t="s">
        <v>631</v>
      </c>
      <c r="D229" s="28" t="s">
        <v>1193</v>
      </c>
      <c r="E229" s="27">
        <v>45897</v>
      </c>
      <c r="F229" s="27" t="str">
        <f t="shared" si="9"/>
        <v>Returning</v>
      </c>
      <c r="G229" s="28" t="s">
        <v>206</v>
      </c>
      <c r="H229" s="28" t="s">
        <v>350</v>
      </c>
      <c r="I229" s="28" t="s">
        <v>351</v>
      </c>
      <c r="J229" s="28" t="s">
        <v>352</v>
      </c>
      <c r="K229" s="29">
        <v>1</v>
      </c>
      <c r="L229" s="28" t="s">
        <v>353</v>
      </c>
      <c r="M229" s="28" t="s">
        <v>159</v>
      </c>
      <c r="N229" s="28"/>
      <c r="O229" s="28" t="s">
        <v>130</v>
      </c>
      <c r="P229" s="28" t="str">
        <f t="shared" si="10"/>
        <v/>
      </c>
      <c r="Q229" s="28"/>
      <c r="R229" s="29">
        <v>31</v>
      </c>
      <c r="S229" s="28"/>
      <c r="T229" s="30" t="str">
        <f>_xlfn.CONCAT(Table5[[#This Row],[OrderID]]," | ",Table5[[#This Row],[City]]," | ",Table5[[#This Row],[ItemName]])</f>
        <v>ORD-1225 | Pokhara | Buff Sekuwa</v>
      </c>
      <c r="U229" s="30" t="str">
        <f>UPPER(Table5[[#This Row],[City]])</f>
        <v>POKHARA</v>
      </c>
      <c r="V229" s="30" t="str">
        <f>LOWER(Table5[[#This Row],[PaymentMethod]])</f>
        <v>khalti</v>
      </c>
      <c r="W229" s="30" cm="1">
        <f t="array" ref="W229">_xlfn.XLOOKUP(TRIM(Table5[[#This Row],[ItemName]]), TRIM(Menu_Price_List_tbl[ItemName]),Menu_Price_List_tbl[UnitPrice_NPR])</f>
        <v>380</v>
      </c>
      <c r="X229" s="31">
        <f t="shared" si="11"/>
        <v>380</v>
      </c>
      <c r="Y229" s="30">
        <f>_xlfn.XLOOKUP(Table5[[#This Row],[City]],City_Delivery_Fee_tbl[City],City_Delivery_Fee_tbl[BaseDeliveryFee_NPR])</f>
        <v>70</v>
      </c>
      <c r="Z22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29" s="31">
        <f>Table5[[#This Row],[Order Amount]]+Table5[[#This Row],[Delivery Fee]]-Table5[[#This Row],[Discount Amount]]</f>
        <v>450</v>
      </c>
      <c r="AB229" s="30" t="str">
        <f>_xlfn.XLOOKUP(Table5[[#This Row],[RiderID]], Rider_Directory!$F$2:$F$26, Rider_Directory!$B$2:$B$26)</f>
        <v>Pokhara</v>
      </c>
      <c r="AC229" s="30" t="str" cm="1">
        <f t="array" ref="AC229">_xlfn.IFS(Table5[[#This Row],[Final Amount]]&lt;500, "Small", Table5[[#This Row],[Final Amount]]&lt;=1000, "Medium", Table5[[#This Row],[Final Amount]]&gt;1000, "Large")</f>
        <v>Small</v>
      </c>
      <c r="AD229" s="30" t="str">
        <f>_xlfn.LET(_xlpm.expiry,_xlfn.XLOOKUP(Table5[[#This Row],[PromoCode]],Promo_Codes!$A$2:$A$9,Promo_Codes!$F$2:$F$9,DATE(2099,1,1)),IF(Table5[[#This Row],[OrderDate]]&gt;_xlpm.expiry,"Expired Code Used","Valid"))</f>
        <v>Valid</v>
      </c>
    </row>
    <row r="230" spans="1:30" x14ac:dyDescent="0.3">
      <c r="A230" s="28" t="s">
        <v>343</v>
      </c>
      <c r="B230" s="27">
        <v>46003</v>
      </c>
      <c r="C230" s="28" t="s">
        <v>344</v>
      </c>
      <c r="D230" s="28" t="s">
        <v>1190</v>
      </c>
      <c r="E230" s="27">
        <v>46003</v>
      </c>
      <c r="F230" s="27" t="str">
        <f t="shared" si="9"/>
        <v>New</v>
      </c>
      <c r="G230" s="28" t="s">
        <v>259</v>
      </c>
      <c r="H230" s="28" t="s">
        <v>232</v>
      </c>
      <c r="I230" s="28" t="s">
        <v>233</v>
      </c>
      <c r="J230" s="28" t="s">
        <v>345</v>
      </c>
      <c r="K230" s="29">
        <v>1</v>
      </c>
      <c r="L230" s="28" t="s">
        <v>260</v>
      </c>
      <c r="M230" s="28" t="s">
        <v>128</v>
      </c>
      <c r="N230" s="28"/>
      <c r="O230" s="28" t="s">
        <v>130</v>
      </c>
      <c r="P230" s="28" t="str">
        <f t="shared" si="10"/>
        <v/>
      </c>
      <c r="Q230" s="29">
        <v>5</v>
      </c>
      <c r="R230" s="29">
        <v>42</v>
      </c>
      <c r="S230" s="28"/>
      <c r="T230" s="30" t="str">
        <f>_xlfn.CONCAT(Table5[[#This Row],[OrderID]]," | ",Table5[[#This Row],[City]]," | ",Table5[[#This Row],[ItemName]])</f>
        <v>ORD-1226 | Dharan | Veg Momo (Fried)</v>
      </c>
      <c r="U230" s="30" t="str">
        <f>UPPER(Table5[[#This Row],[City]])</f>
        <v>DHARAN</v>
      </c>
      <c r="V230" s="30" t="str">
        <f>LOWER(Table5[[#This Row],[PaymentMethod]])</f>
        <v>esewa</v>
      </c>
      <c r="W230" s="30" cm="1">
        <f t="array" ref="W230">_xlfn.XLOOKUP(TRIM(Table5[[#This Row],[ItemName]]), TRIM(Menu_Price_List_tbl[ItemName]),Menu_Price_List_tbl[UnitPrice_NPR])</f>
        <v>160</v>
      </c>
      <c r="X230" s="31">
        <f t="shared" si="11"/>
        <v>160</v>
      </c>
      <c r="Y230" s="30">
        <f>_xlfn.XLOOKUP(Table5[[#This Row],[City]],City_Delivery_Fee_tbl[City],City_Delivery_Fee_tbl[BaseDeliveryFee_NPR])</f>
        <v>95</v>
      </c>
      <c r="Z23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30" s="31">
        <f>Table5[[#This Row],[Order Amount]]+Table5[[#This Row],[Delivery Fee]]-Table5[[#This Row],[Discount Amount]]</f>
        <v>255</v>
      </c>
      <c r="AB230" s="30" t="str">
        <f>_xlfn.XLOOKUP(Table5[[#This Row],[RiderID]], Rider_Directory!$F$2:$F$26, Rider_Directory!$B$2:$B$26)</f>
        <v>Dharan</v>
      </c>
      <c r="AC230" s="30" t="str" cm="1">
        <f t="array" ref="AC230">_xlfn.IFS(Table5[[#This Row],[Final Amount]]&lt;500, "Small", Table5[[#This Row],[Final Amount]]&lt;=1000, "Medium", Table5[[#This Row],[Final Amount]]&gt;1000, "Large")</f>
        <v>Small</v>
      </c>
      <c r="AD230" s="30" t="str">
        <f>_xlfn.LET(_xlpm.expiry,_xlfn.XLOOKUP(Table5[[#This Row],[PromoCode]],Promo_Codes!$A$2:$A$9,Promo_Codes!$F$2:$F$9,DATE(2099,1,1)),IF(Table5[[#This Row],[OrderDate]]&gt;_xlpm.expiry,"Expired Code Used","Valid"))</f>
        <v>Valid</v>
      </c>
    </row>
    <row r="231" spans="1:30" x14ac:dyDescent="0.3">
      <c r="A231" s="28" t="s">
        <v>410</v>
      </c>
      <c r="B231" s="27">
        <v>46003</v>
      </c>
      <c r="C231" s="28" t="s">
        <v>972</v>
      </c>
      <c r="D231" s="28" t="s">
        <v>1204</v>
      </c>
      <c r="E231" s="27">
        <v>45921</v>
      </c>
      <c r="F231" s="27" t="str">
        <f t="shared" si="9"/>
        <v>Returning</v>
      </c>
      <c r="G231" s="28" t="s">
        <v>135</v>
      </c>
      <c r="H231" s="28" t="s">
        <v>124</v>
      </c>
      <c r="I231" s="28" t="s">
        <v>125</v>
      </c>
      <c r="J231" s="28" t="s">
        <v>414</v>
      </c>
      <c r="K231" s="29">
        <v>4</v>
      </c>
      <c r="L231" s="28" t="s">
        <v>277</v>
      </c>
      <c r="M231" s="28" t="s">
        <v>128</v>
      </c>
      <c r="N231" s="28"/>
      <c r="O231" s="28" t="s">
        <v>130</v>
      </c>
      <c r="P231" s="28" t="str">
        <f t="shared" si="10"/>
        <v/>
      </c>
      <c r="Q231" s="29">
        <v>5</v>
      </c>
      <c r="R231" s="29">
        <v>31</v>
      </c>
      <c r="S231" s="28"/>
      <c r="T231" s="30" t="str">
        <f>_xlfn.CONCAT(Table5[[#This Row],[OrderID]]," | ",Table5[[#This Row],[City]]," | ",Table5[[#This Row],[ItemName]])</f>
        <v>ORD-1227 | Kathmandu | BARA</v>
      </c>
      <c r="U231" s="30" t="str">
        <f>UPPER(Table5[[#This Row],[City]])</f>
        <v>KATHMANDU</v>
      </c>
      <c r="V231" s="30" t="str">
        <f>LOWER(Table5[[#This Row],[PaymentMethod]])</f>
        <v>esewa</v>
      </c>
      <c r="W231" s="30" cm="1">
        <f t="array" ref="W231">_xlfn.XLOOKUP(TRIM(Table5[[#This Row],[ItemName]]), TRIM(Menu_Price_List_tbl[ItemName]),Menu_Price_List_tbl[UnitPrice_NPR])</f>
        <v>160</v>
      </c>
      <c r="X231" s="31">
        <f t="shared" si="11"/>
        <v>640</v>
      </c>
      <c r="Y231" s="30">
        <f>_xlfn.XLOOKUP(Table5[[#This Row],[City]],City_Delivery_Fee_tbl[City],City_Delivery_Fee_tbl[BaseDeliveryFee_NPR])</f>
        <v>50</v>
      </c>
      <c r="Z23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31" s="31">
        <f>Table5[[#This Row],[Order Amount]]+Table5[[#This Row],[Delivery Fee]]-Table5[[#This Row],[Discount Amount]]</f>
        <v>690</v>
      </c>
      <c r="AB231" s="30" t="str">
        <f>_xlfn.XLOOKUP(Table5[[#This Row],[RiderID]], Rider_Directory!$F$2:$F$26, Rider_Directory!$B$2:$B$26)</f>
        <v>Kathmandu</v>
      </c>
      <c r="AC231" s="30" t="str" cm="1">
        <f t="array" ref="AC231">_xlfn.IFS(Table5[[#This Row],[Final Amount]]&lt;500, "Small", Table5[[#This Row],[Final Amount]]&lt;=1000, "Medium", Table5[[#This Row],[Final Amount]]&gt;1000, "Large")</f>
        <v>Medium</v>
      </c>
      <c r="AD231" s="30" t="str">
        <f>_xlfn.LET(_xlpm.expiry,_xlfn.XLOOKUP(Table5[[#This Row],[PromoCode]],Promo_Codes!$A$2:$A$9,Promo_Codes!$F$2:$F$9,DATE(2099,1,1)),IF(Table5[[#This Row],[OrderDate]]&gt;_xlpm.expiry,"Expired Code Used","Valid"))</f>
        <v>Valid</v>
      </c>
    </row>
    <row r="232" spans="1:30" x14ac:dyDescent="0.3">
      <c r="A232" s="28" t="s">
        <v>917</v>
      </c>
      <c r="B232" s="27">
        <v>46004</v>
      </c>
      <c r="C232" s="28" t="s">
        <v>1153</v>
      </c>
      <c r="D232" s="28" t="s">
        <v>1279</v>
      </c>
      <c r="E232" s="27">
        <v>45909</v>
      </c>
      <c r="F232" s="27" t="str">
        <f t="shared" si="9"/>
        <v>Returning</v>
      </c>
      <c r="G232" s="28" t="s">
        <v>170</v>
      </c>
      <c r="H232" s="28" t="s">
        <v>146</v>
      </c>
      <c r="I232" s="28" t="s">
        <v>147</v>
      </c>
      <c r="J232" s="28" t="s">
        <v>559</v>
      </c>
      <c r="K232" s="29">
        <v>2</v>
      </c>
      <c r="L232" s="28" t="s">
        <v>173</v>
      </c>
      <c r="M232" s="28" t="s">
        <v>159</v>
      </c>
      <c r="N232" s="28"/>
      <c r="O232" s="28" t="s">
        <v>130</v>
      </c>
      <c r="P232" s="28" t="str">
        <f t="shared" si="10"/>
        <v/>
      </c>
      <c r="Q232" s="29">
        <v>4</v>
      </c>
      <c r="R232" s="29">
        <v>59</v>
      </c>
      <c r="S232" s="28" t="s">
        <v>131</v>
      </c>
      <c r="T232" s="30" t="str">
        <f>_xlfn.CONCAT(Table5[[#This Row],[OrderID]]," | ",Table5[[#This Row],[City]]," | ",Table5[[#This Row],[ItemName]])</f>
        <v>ORD-1228 | Butwal | Laddu (5 pcs)</v>
      </c>
      <c r="U232" s="30" t="str">
        <f>UPPER(Table5[[#This Row],[City]])</f>
        <v>BUTWAL</v>
      </c>
      <c r="V232" s="30" t="str">
        <f>LOWER(Table5[[#This Row],[PaymentMethod]])</f>
        <v>khalti</v>
      </c>
      <c r="W232" s="30" cm="1">
        <f t="array" ref="W232">_xlfn.XLOOKUP(TRIM(Table5[[#This Row],[ItemName]]), TRIM(Menu_Price_List_tbl[ItemName]),Menu_Price_List_tbl[UnitPrice_NPR])</f>
        <v>180</v>
      </c>
      <c r="X232" s="31">
        <f t="shared" si="11"/>
        <v>360</v>
      </c>
      <c r="Y232" s="30">
        <f>_xlfn.XLOOKUP(Table5[[#This Row],[City]],City_Delivery_Fee_tbl[City],City_Delivery_Fee_tbl[BaseDeliveryFee_NPR])</f>
        <v>85</v>
      </c>
      <c r="Z23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32" s="31">
        <f>Table5[[#This Row],[Order Amount]]+Table5[[#This Row],[Delivery Fee]]-Table5[[#This Row],[Discount Amount]]</f>
        <v>445</v>
      </c>
      <c r="AB232" s="30" t="str">
        <f>_xlfn.XLOOKUP(Table5[[#This Row],[RiderID]], Rider_Directory!$F$2:$F$26, Rider_Directory!$B$2:$B$26)</f>
        <v>Butwal</v>
      </c>
      <c r="AC232" s="30" t="str" cm="1">
        <f t="array" ref="AC232">_xlfn.IFS(Table5[[#This Row],[Final Amount]]&lt;500, "Small", Table5[[#This Row],[Final Amount]]&lt;=1000, "Medium", Table5[[#This Row],[Final Amount]]&gt;1000, "Large")</f>
        <v>Small</v>
      </c>
      <c r="AD232" s="30" t="str">
        <f>_xlfn.LET(_xlpm.expiry,_xlfn.XLOOKUP(Table5[[#This Row],[PromoCode]],Promo_Codes!$A$2:$A$9,Promo_Codes!$F$2:$F$9,DATE(2099,1,1)),IF(Table5[[#This Row],[OrderDate]]&gt;_xlpm.expiry,"Expired Code Used","Valid"))</f>
        <v>Valid</v>
      </c>
    </row>
    <row r="233" spans="1:30" x14ac:dyDescent="0.3">
      <c r="A233" s="28" t="s">
        <v>454</v>
      </c>
      <c r="B233" s="27">
        <v>46004</v>
      </c>
      <c r="C233" s="28" t="s">
        <v>1129</v>
      </c>
      <c r="D233" s="28" t="s">
        <v>1215</v>
      </c>
      <c r="E233" s="27">
        <v>45966</v>
      </c>
      <c r="F233" s="27" t="str">
        <f t="shared" si="9"/>
        <v>Returning</v>
      </c>
      <c r="G233" s="28" t="s">
        <v>135</v>
      </c>
      <c r="H233" s="28" t="s">
        <v>171</v>
      </c>
      <c r="I233" s="28" t="s">
        <v>147</v>
      </c>
      <c r="J233" s="28" t="s">
        <v>264</v>
      </c>
      <c r="K233" s="29">
        <v>1</v>
      </c>
      <c r="L233" s="28" t="s">
        <v>187</v>
      </c>
      <c r="M233" s="28" t="s">
        <v>159</v>
      </c>
      <c r="N233" s="28" t="s">
        <v>129</v>
      </c>
      <c r="O233" s="28" t="s">
        <v>130</v>
      </c>
      <c r="P233" s="28" t="str">
        <f t="shared" si="10"/>
        <v/>
      </c>
      <c r="Q233" s="29">
        <v>5</v>
      </c>
      <c r="R233" s="29">
        <v>33</v>
      </c>
      <c r="S233" s="28"/>
      <c r="T233" s="30" t="str">
        <f>_xlfn.CONCAT(Table5[[#This Row],[OrderID]]," | ",Table5[[#This Row],[City]]," | ",Table5[[#This Row],[ItemName]])</f>
        <v>ORD-1229 | Kathmandu | Cheese Cake Slice</v>
      </c>
      <c r="U233" s="30" t="str">
        <f>UPPER(Table5[[#This Row],[City]])</f>
        <v>KATHMANDU</v>
      </c>
      <c r="V233" s="30" t="str">
        <f>LOWER(Table5[[#This Row],[PaymentMethod]])</f>
        <v>khalti</v>
      </c>
      <c r="W233" s="30" cm="1">
        <f t="array" ref="W233">_xlfn.XLOOKUP(TRIM(Table5[[#This Row],[ItemName]]), TRIM(Menu_Price_List_tbl[ItemName]),Menu_Price_List_tbl[UnitPrice_NPR])</f>
        <v>250</v>
      </c>
      <c r="X233" s="31">
        <f t="shared" si="11"/>
        <v>250</v>
      </c>
      <c r="Y233" s="30">
        <f>_xlfn.XLOOKUP(Table5[[#This Row],[City]],City_Delivery_Fee_tbl[City],City_Delivery_Fee_tbl[BaseDeliveryFee_NPR])</f>
        <v>50</v>
      </c>
      <c r="Z23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233" s="31">
        <f>Table5[[#This Row],[Order Amount]]+Table5[[#This Row],[Delivery Fee]]-Table5[[#This Row],[Discount Amount]]</f>
        <v>200</v>
      </c>
      <c r="AB233" s="30" t="str">
        <f>_xlfn.XLOOKUP(Table5[[#This Row],[RiderID]], Rider_Directory!$F$2:$F$26, Rider_Directory!$B$2:$B$26)</f>
        <v>Kathmandu</v>
      </c>
      <c r="AC233" s="30" t="str" cm="1">
        <f t="array" ref="AC233">_xlfn.IFS(Table5[[#This Row],[Final Amount]]&lt;500, "Small", Table5[[#This Row],[Final Amount]]&lt;=1000, "Medium", Table5[[#This Row],[Final Amount]]&gt;1000, "Large")</f>
        <v>Small</v>
      </c>
      <c r="AD233" s="30" t="str">
        <f>_xlfn.LET(_xlpm.expiry,_xlfn.XLOOKUP(Table5[[#This Row],[PromoCode]],Promo_Codes!$A$2:$A$9,Promo_Codes!$F$2:$F$9,DATE(2099,1,1)),IF(Table5[[#This Row],[OrderDate]]&gt;_xlpm.expiry,"Expired Code Used","Valid"))</f>
        <v>Expired Code Used</v>
      </c>
    </row>
    <row r="234" spans="1:30" x14ac:dyDescent="0.3">
      <c r="A234" s="28" t="s">
        <v>1017</v>
      </c>
      <c r="B234" s="27">
        <v>46004</v>
      </c>
      <c r="C234" s="28" t="s">
        <v>274</v>
      </c>
      <c r="D234" s="28" t="s">
        <v>1182</v>
      </c>
      <c r="E234" s="27">
        <v>45956</v>
      </c>
      <c r="F234" s="27" t="str">
        <f t="shared" si="9"/>
        <v>Returning</v>
      </c>
      <c r="G234" s="28" t="s">
        <v>135</v>
      </c>
      <c r="H234" s="28" t="s">
        <v>331</v>
      </c>
      <c r="I234" s="28" t="s">
        <v>164</v>
      </c>
      <c r="J234" s="28" t="s">
        <v>756</v>
      </c>
      <c r="K234" s="29">
        <v>1</v>
      </c>
      <c r="L234" s="28" t="s">
        <v>139</v>
      </c>
      <c r="M234" s="28" t="s">
        <v>140</v>
      </c>
      <c r="N234" s="28" t="s">
        <v>129</v>
      </c>
      <c r="O234" s="28" t="s">
        <v>130</v>
      </c>
      <c r="P234" s="28" t="str">
        <f t="shared" si="10"/>
        <v/>
      </c>
      <c r="Q234" s="29">
        <v>4</v>
      </c>
      <c r="R234" s="29">
        <v>23</v>
      </c>
      <c r="S234" s="28"/>
      <c r="T234" s="30" t="str">
        <f>_xlfn.CONCAT(Table5[[#This Row],[OrderID]]," | ",Table5[[#This Row],[City]]," | ",Table5[[#This Row],[ItemName]])</f>
        <v xml:space="preserve">ORD-1230 | Kathmandu | Milk Tea  </v>
      </c>
      <c r="U234" s="30" t="str">
        <f>UPPER(Table5[[#This Row],[City]])</f>
        <v>KATHMANDU</v>
      </c>
      <c r="V234" s="30" t="str">
        <f>LOWER(Table5[[#This Row],[PaymentMethod]])</f>
        <v>cash on delivery</v>
      </c>
      <c r="W234" s="30" cm="1">
        <f t="array" ref="W234">_xlfn.XLOOKUP(TRIM(Table5[[#This Row],[ItemName]]), TRIM(Menu_Price_List_tbl[ItemName]),Menu_Price_List_tbl[UnitPrice_NPR])</f>
        <v>60</v>
      </c>
      <c r="X234" s="31">
        <f t="shared" si="11"/>
        <v>60</v>
      </c>
      <c r="Y234" s="30">
        <f>_xlfn.XLOOKUP(Table5[[#This Row],[City]],City_Delivery_Fee_tbl[City],City_Delivery_Fee_tbl[BaseDeliveryFee_NPR])</f>
        <v>50</v>
      </c>
      <c r="Z23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234" s="31">
        <f>Table5[[#This Row],[Order Amount]]+Table5[[#This Row],[Delivery Fee]]-Table5[[#This Row],[Discount Amount]]</f>
        <v>10</v>
      </c>
      <c r="AB234" s="30" t="str">
        <f>_xlfn.XLOOKUP(Table5[[#This Row],[RiderID]], Rider_Directory!$F$2:$F$26, Rider_Directory!$B$2:$B$26)</f>
        <v>Kathmandu</v>
      </c>
      <c r="AC234" s="30" t="str" cm="1">
        <f t="array" ref="AC234">_xlfn.IFS(Table5[[#This Row],[Final Amount]]&lt;500, "Small", Table5[[#This Row],[Final Amount]]&lt;=1000, "Medium", Table5[[#This Row],[Final Amount]]&gt;1000, "Large")</f>
        <v>Small</v>
      </c>
      <c r="AD234" s="30" t="str">
        <f>_xlfn.LET(_xlpm.expiry,_xlfn.XLOOKUP(Table5[[#This Row],[PromoCode]],Promo_Codes!$A$2:$A$9,Promo_Codes!$F$2:$F$9,DATE(2099,1,1)),IF(Table5[[#This Row],[OrderDate]]&gt;_xlpm.expiry,"Expired Code Used","Valid"))</f>
        <v>Expired Code Used</v>
      </c>
    </row>
    <row r="235" spans="1:30" x14ac:dyDescent="0.3">
      <c r="A235" s="28" t="s">
        <v>986</v>
      </c>
      <c r="B235" s="27">
        <v>46004</v>
      </c>
      <c r="C235" s="28" t="s">
        <v>921</v>
      </c>
      <c r="D235" s="28" t="s">
        <v>1278</v>
      </c>
      <c r="E235" s="27">
        <v>45871</v>
      </c>
      <c r="F235" s="27" t="str">
        <f t="shared" si="9"/>
        <v>Returning</v>
      </c>
      <c r="G235" s="28" t="s">
        <v>123</v>
      </c>
      <c r="H235" s="28" t="s">
        <v>199</v>
      </c>
      <c r="I235" s="28" t="s">
        <v>179</v>
      </c>
      <c r="J235" s="28" t="s">
        <v>180</v>
      </c>
      <c r="K235" s="29">
        <v>3</v>
      </c>
      <c r="L235" s="28" t="s">
        <v>127</v>
      </c>
      <c r="M235" s="28" t="s">
        <v>159</v>
      </c>
      <c r="N235" s="28" t="s">
        <v>336</v>
      </c>
      <c r="O235" s="28" t="s">
        <v>130</v>
      </c>
      <c r="P235" s="28" t="str">
        <f t="shared" si="10"/>
        <v/>
      </c>
      <c r="Q235" s="29">
        <v>4</v>
      </c>
      <c r="R235" s="29">
        <v>44</v>
      </c>
      <c r="S235" s="28"/>
      <c r="T235" s="30" t="str">
        <f>_xlfn.CONCAT(Table5[[#This Row],[OrderID]]," | ",Table5[[#This Row],[City]]," | ",Table5[[#This Row],[ItemName]])</f>
        <v>ORD-1231 | Biratnagar | Veg Fried Rice</v>
      </c>
      <c r="U235" s="30" t="str">
        <f>UPPER(Table5[[#This Row],[City]])</f>
        <v>BIRATNAGAR</v>
      </c>
      <c r="V235" s="30" t="str">
        <f>LOWER(Table5[[#This Row],[PaymentMethod]])</f>
        <v>khalti</v>
      </c>
      <c r="W235" s="30" cm="1">
        <f t="array" ref="W235">_xlfn.XLOOKUP(TRIM(Table5[[#This Row],[ItemName]]), TRIM(Menu_Price_List_tbl[ItemName]),Menu_Price_List_tbl[UnitPrice_NPR])</f>
        <v>220</v>
      </c>
      <c r="X235" s="31">
        <f t="shared" si="11"/>
        <v>660</v>
      </c>
      <c r="Y235" s="30">
        <f>_xlfn.XLOOKUP(Table5[[#This Row],[City]],City_Delivery_Fee_tbl[City],City_Delivery_Fee_tbl[BaseDeliveryFee_NPR])</f>
        <v>90</v>
      </c>
      <c r="Z23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235" s="31">
        <f>Table5[[#This Row],[Order Amount]]+Table5[[#This Row],[Delivery Fee]]-Table5[[#This Row],[Discount Amount]]</f>
        <v>700</v>
      </c>
      <c r="AB235" s="30" t="str">
        <f>_xlfn.XLOOKUP(Table5[[#This Row],[RiderID]], Rider_Directory!$F$2:$F$26, Rider_Directory!$B$2:$B$26)</f>
        <v>Biratnagar</v>
      </c>
      <c r="AC235" s="30" t="str" cm="1">
        <f t="array" ref="AC235">_xlfn.IFS(Table5[[#This Row],[Final Amount]]&lt;500, "Small", Table5[[#This Row],[Final Amount]]&lt;=1000, "Medium", Table5[[#This Row],[Final Amount]]&gt;1000, "Large")</f>
        <v>Medium</v>
      </c>
      <c r="AD235" s="30" t="str">
        <f>_xlfn.LET(_xlpm.expiry,_xlfn.XLOOKUP(Table5[[#This Row],[PromoCode]],Promo_Codes!$A$2:$A$9,Promo_Codes!$F$2:$F$9,DATE(2099,1,1)),IF(Table5[[#This Row],[OrderDate]]&gt;_xlpm.expiry,"Expired Code Used","Valid"))</f>
        <v>Valid</v>
      </c>
    </row>
    <row r="236" spans="1:30" x14ac:dyDescent="0.3">
      <c r="A236" s="28" t="s">
        <v>563</v>
      </c>
      <c r="B236" s="27">
        <v>46005</v>
      </c>
      <c r="C236" s="28" t="s">
        <v>600</v>
      </c>
      <c r="D236" s="28" t="s">
        <v>1232</v>
      </c>
      <c r="E236" s="27">
        <v>45963</v>
      </c>
      <c r="F236" s="27" t="str">
        <f t="shared" si="9"/>
        <v>Returning</v>
      </c>
      <c r="G236" s="28" t="s">
        <v>145</v>
      </c>
      <c r="H236" s="28" t="s">
        <v>199</v>
      </c>
      <c r="I236" s="28" t="s">
        <v>179</v>
      </c>
      <c r="J236" s="28" t="s">
        <v>465</v>
      </c>
      <c r="K236" s="29">
        <v>2</v>
      </c>
      <c r="L236" s="28" t="s">
        <v>149</v>
      </c>
      <c r="M236" s="28" t="s">
        <v>140</v>
      </c>
      <c r="N236" s="28" t="s">
        <v>529</v>
      </c>
      <c r="O236" s="28" t="s">
        <v>130</v>
      </c>
      <c r="P236" s="28" t="str">
        <f t="shared" si="10"/>
        <v/>
      </c>
      <c r="Q236" s="29">
        <v>5</v>
      </c>
      <c r="R236" s="29">
        <v>48</v>
      </c>
      <c r="S236" s="28"/>
      <c r="T236" s="30" t="str">
        <f>_xlfn.CONCAT(Table5[[#This Row],[OrderID]]," | ",Table5[[#This Row],[City]]," | ",Table5[[#This Row],[ItemName]])</f>
        <v>ORD-1232 | Chitwan | French Fries</v>
      </c>
      <c r="U236" s="30" t="str">
        <f>UPPER(Table5[[#This Row],[City]])</f>
        <v>CHITWAN</v>
      </c>
      <c r="V236" s="30" t="str">
        <f>LOWER(Table5[[#This Row],[PaymentMethod]])</f>
        <v>cash on delivery</v>
      </c>
      <c r="W236" s="30" cm="1">
        <f t="array" ref="W236">_xlfn.XLOOKUP(TRIM(Table5[[#This Row],[ItemName]]), TRIM(Menu_Price_List_tbl[ItemName]),Menu_Price_List_tbl[UnitPrice_NPR])</f>
        <v>160</v>
      </c>
      <c r="X236" s="31">
        <f t="shared" si="11"/>
        <v>320</v>
      </c>
      <c r="Y236" s="30">
        <f>_xlfn.XLOOKUP(Table5[[#This Row],[City]],City_Delivery_Fee_tbl[City],City_Delivery_Fee_tbl[BaseDeliveryFee_NPR])</f>
        <v>80</v>
      </c>
      <c r="Z23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30</v>
      </c>
      <c r="AA236" s="31">
        <f>Table5[[#This Row],[Order Amount]]+Table5[[#This Row],[Delivery Fee]]-Table5[[#This Row],[Discount Amount]]</f>
        <v>370</v>
      </c>
      <c r="AB236" s="30" t="str">
        <f>_xlfn.XLOOKUP(Table5[[#This Row],[RiderID]], Rider_Directory!$F$2:$F$26, Rider_Directory!$B$2:$B$26)</f>
        <v>Chitwan</v>
      </c>
      <c r="AC236" s="30" t="str" cm="1">
        <f t="array" ref="AC236">_xlfn.IFS(Table5[[#This Row],[Final Amount]]&lt;500, "Small", Table5[[#This Row],[Final Amount]]&lt;=1000, "Medium", Table5[[#This Row],[Final Amount]]&gt;1000, "Large")</f>
        <v>Small</v>
      </c>
      <c r="AD236" s="30" t="str">
        <f>_xlfn.LET(_xlpm.expiry,_xlfn.XLOOKUP(Table5[[#This Row],[PromoCode]],Promo_Codes!$A$2:$A$9,Promo_Codes!$F$2:$F$9,DATE(2099,1,1)),IF(Table5[[#This Row],[OrderDate]]&gt;_xlpm.expiry,"Expired Code Used","Valid"))</f>
        <v>Expired Code Used</v>
      </c>
    </row>
    <row r="237" spans="1:30" x14ac:dyDescent="0.3">
      <c r="A237" s="28" t="s">
        <v>583</v>
      </c>
      <c r="B237" s="27">
        <v>46006</v>
      </c>
      <c r="C237" s="28" t="s">
        <v>531</v>
      </c>
      <c r="D237" s="28" t="s">
        <v>1226</v>
      </c>
      <c r="E237" s="27">
        <v>45909</v>
      </c>
      <c r="F237" s="27" t="str">
        <f t="shared" si="9"/>
        <v>Returning</v>
      </c>
      <c r="G237" s="28" t="s">
        <v>198</v>
      </c>
      <c r="H237" s="28" t="s">
        <v>155</v>
      </c>
      <c r="I237" s="28" t="s">
        <v>156</v>
      </c>
      <c r="J237" s="28" t="s">
        <v>317</v>
      </c>
      <c r="K237" s="29">
        <v>4</v>
      </c>
      <c r="L237" s="28" t="s">
        <v>213</v>
      </c>
      <c r="M237" s="28" t="s">
        <v>159</v>
      </c>
      <c r="N237" s="28"/>
      <c r="O237" s="28" t="s">
        <v>130</v>
      </c>
      <c r="P237" s="28" t="str">
        <f t="shared" si="10"/>
        <v/>
      </c>
      <c r="Q237" s="29">
        <v>4</v>
      </c>
      <c r="R237" s="29">
        <v>10</v>
      </c>
      <c r="S237" s="28" t="s">
        <v>302</v>
      </c>
      <c r="T237" s="30" t="str">
        <f>_xlfn.CONCAT(Table5[[#This Row],[OrderID]]," | ",Table5[[#This Row],[City]]," | ",Table5[[#This Row],[ItemName]])</f>
        <v>ORD-1233 | Lalitpur | Chicken Fried Rice</v>
      </c>
      <c r="U237" s="30" t="str">
        <f>UPPER(Table5[[#This Row],[City]])</f>
        <v>LALITPUR</v>
      </c>
      <c r="V237" s="30" t="str">
        <f>LOWER(Table5[[#This Row],[PaymentMethod]])</f>
        <v>khalti</v>
      </c>
      <c r="W237" s="30" cm="1">
        <f t="array" ref="W237">_xlfn.XLOOKUP(TRIM(Table5[[#This Row],[ItemName]]), TRIM(Menu_Price_List_tbl[ItemName]),Menu_Price_List_tbl[UnitPrice_NPR])</f>
        <v>260</v>
      </c>
      <c r="X237" s="31">
        <f t="shared" si="11"/>
        <v>1040</v>
      </c>
      <c r="Y237" s="30">
        <f>_xlfn.XLOOKUP(Table5[[#This Row],[City]],City_Delivery_Fee_tbl[City],City_Delivery_Fee_tbl[BaseDeliveryFee_NPR])</f>
        <v>50</v>
      </c>
      <c r="Z23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37" s="31">
        <f>Table5[[#This Row],[Order Amount]]+Table5[[#This Row],[Delivery Fee]]-Table5[[#This Row],[Discount Amount]]</f>
        <v>1090</v>
      </c>
      <c r="AB237" s="30" t="str">
        <f>_xlfn.XLOOKUP(Table5[[#This Row],[RiderID]], Rider_Directory!$F$2:$F$26, Rider_Directory!$B$2:$B$26)</f>
        <v>Lalitpur</v>
      </c>
      <c r="AC237" s="30" t="str" cm="1">
        <f t="array" ref="AC237">_xlfn.IFS(Table5[[#This Row],[Final Amount]]&lt;500, "Small", Table5[[#This Row],[Final Amount]]&lt;=1000, "Medium", Table5[[#This Row],[Final Amount]]&gt;1000, "Large")</f>
        <v>Large</v>
      </c>
      <c r="AD237" s="30" t="str">
        <f>_xlfn.LET(_xlpm.expiry,_xlfn.XLOOKUP(Table5[[#This Row],[PromoCode]],Promo_Codes!$A$2:$A$9,Promo_Codes!$F$2:$F$9,DATE(2099,1,1)),IF(Table5[[#This Row],[OrderDate]]&gt;_xlpm.expiry,"Expired Code Used","Valid"))</f>
        <v>Valid</v>
      </c>
    </row>
    <row r="238" spans="1:30" x14ac:dyDescent="0.3">
      <c r="A238" s="28" t="s">
        <v>1032</v>
      </c>
      <c r="B238" s="27">
        <v>46007</v>
      </c>
      <c r="C238" s="28" t="s">
        <v>531</v>
      </c>
      <c r="D238" s="28" t="s">
        <v>1226</v>
      </c>
      <c r="E238" s="27">
        <v>45909</v>
      </c>
      <c r="F238" s="27" t="str">
        <f t="shared" si="9"/>
        <v>Returning</v>
      </c>
      <c r="G238" s="28" t="s">
        <v>145</v>
      </c>
      <c r="H238" s="28" t="s">
        <v>288</v>
      </c>
      <c r="I238" s="28" t="s">
        <v>156</v>
      </c>
      <c r="J238" s="28" t="s">
        <v>389</v>
      </c>
      <c r="K238" s="29">
        <v>1</v>
      </c>
      <c r="L238" s="28" t="s">
        <v>307</v>
      </c>
      <c r="M238" s="28" t="s">
        <v>247</v>
      </c>
      <c r="N238" s="28"/>
      <c r="O238" s="28" t="s">
        <v>130</v>
      </c>
      <c r="P238" s="28" t="str">
        <f t="shared" si="10"/>
        <v/>
      </c>
      <c r="Q238" s="29">
        <v>5</v>
      </c>
      <c r="R238" s="29">
        <v>53</v>
      </c>
      <c r="S238" s="28"/>
      <c r="T238" s="30" t="str">
        <f>_xlfn.CONCAT(Table5[[#This Row],[OrderID]]," | ",Table5[[#This Row],[City]]," | ",Table5[[#This Row],[ItemName]])</f>
        <v>ORD-1234 | Chitwan | Veg Chopsuey</v>
      </c>
      <c r="U238" s="30" t="str">
        <f>UPPER(Table5[[#This Row],[City]])</f>
        <v>CHITWAN</v>
      </c>
      <c r="V238" s="30" t="str">
        <f>LOWER(Table5[[#This Row],[PaymentMethod]])</f>
        <v>ime pay</v>
      </c>
      <c r="W238" s="30" cm="1">
        <f t="array" ref="W238">_xlfn.XLOOKUP(TRIM(Table5[[#This Row],[ItemName]]), TRIM(Menu_Price_List_tbl[ItemName]),Menu_Price_List_tbl[UnitPrice_NPR])</f>
        <v>260</v>
      </c>
      <c r="X238" s="31">
        <f t="shared" si="11"/>
        <v>260</v>
      </c>
      <c r="Y238" s="30">
        <f>_xlfn.XLOOKUP(Table5[[#This Row],[City]],City_Delivery_Fee_tbl[City],City_Delivery_Fee_tbl[BaseDeliveryFee_NPR])</f>
        <v>80</v>
      </c>
      <c r="Z23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38" s="31">
        <f>Table5[[#This Row],[Order Amount]]+Table5[[#This Row],[Delivery Fee]]-Table5[[#This Row],[Discount Amount]]</f>
        <v>340</v>
      </c>
      <c r="AB238" s="30" t="str">
        <f>_xlfn.XLOOKUP(Table5[[#This Row],[RiderID]], Rider_Directory!$F$2:$F$26, Rider_Directory!$B$2:$B$26)</f>
        <v>Chitwan</v>
      </c>
      <c r="AC238" s="30" t="str" cm="1">
        <f t="array" ref="AC238">_xlfn.IFS(Table5[[#This Row],[Final Amount]]&lt;500, "Small", Table5[[#This Row],[Final Amount]]&lt;=1000, "Medium", Table5[[#This Row],[Final Amount]]&gt;1000, "Large")</f>
        <v>Small</v>
      </c>
      <c r="AD238" s="30" t="str">
        <f>_xlfn.LET(_xlpm.expiry,_xlfn.XLOOKUP(Table5[[#This Row],[PromoCode]],Promo_Codes!$A$2:$A$9,Promo_Codes!$F$2:$F$9,DATE(2099,1,1)),IF(Table5[[#This Row],[OrderDate]]&gt;_xlpm.expiry,"Expired Code Used","Valid"))</f>
        <v>Valid</v>
      </c>
    </row>
    <row r="239" spans="1:30" x14ac:dyDescent="0.3">
      <c r="A239" s="28" t="s">
        <v>500</v>
      </c>
      <c r="B239" s="27">
        <v>46008</v>
      </c>
      <c r="C239" s="28" t="s">
        <v>243</v>
      </c>
      <c r="D239" s="28" t="s">
        <v>1222</v>
      </c>
      <c r="E239" s="27">
        <v>45952</v>
      </c>
      <c r="F239" s="27" t="str">
        <f t="shared" si="9"/>
        <v>Returning</v>
      </c>
      <c r="G239" s="28" t="s">
        <v>170</v>
      </c>
      <c r="H239" s="28" t="s">
        <v>171</v>
      </c>
      <c r="I239" s="28" t="s">
        <v>147</v>
      </c>
      <c r="J239" s="28" t="s">
        <v>502</v>
      </c>
      <c r="K239" s="29">
        <v>1</v>
      </c>
      <c r="L239" s="28" t="s">
        <v>173</v>
      </c>
      <c r="M239" s="28" t="s">
        <v>159</v>
      </c>
      <c r="N239" s="28"/>
      <c r="O239" s="28" t="s">
        <v>130</v>
      </c>
      <c r="P239" s="28" t="str">
        <f t="shared" si="10"/>
        <v/>
      </c>
      <c r="Q239" s="29">
        <v>4</v>
      </c>
      <c r="R239" s="29">
        <v>50</v>
      </c>
      <c r="S239" s="28" t="s">
        <v>291</v>
      </c>
      <c r="T239" s="30" t="str">
        <f>_xlfn.CONCAT(Table5[[#This Row],[OrderID]]," | ",Table5[[#This Row],[City]]," | ",Table5[[#This Row],[ItemName]])</f>
        <v xml:space="preserve">ORD-1235 | Butwal | Laddu (5 pcs)  </v>
      </c>
      <c r="U239" s="30" t="str">
        <f>UPPER(Table5[[#This Row],[City]])</f>
        <v>BUTWAL</v>
      </c>
      <c r="V239" s="30" t="str">
        <f>LOWER(Table5[[#This Row],[PaymentMethod]])</f>
        <v>khalti</v>
      </c>
      <c r="W239" s="30" cm="1">
        <f t="array" ref="W239">_xlfn.XLOOKUP(TRIM(Table5[[#This Row],[ItemName]]), TRIM(Menu_Price_List_tbl[ItemName]),Menu_Price_List_tbl[UnitPrice_NPR])</f>
        <v>180</v>
      </c>
      <c r="X239" s="31">
        <f t="shared" si="11"/>
        <v>180</v>
      </c>
      <c r="Y239" s="30">
        <f>_xlfn.XLOOKUP(Table5[[#This Row],[City]],City_Delivery_Fee_tbl[City],City_Delivery_Fee_tbl[BaseDeliveryFee_NPR])</f>
        <v>85</v>
      </c>
      <c r="Z23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39" s="31">
        <f>Table5[[#This Row],[Order Amount]]+Table5[[#This Row],[Delivery Fee]]-Table5[[#This Row],[Discount Amount]]</f>
        <v>265</v>
      </c>
      <c r="AB239" s="30" t="str">
        <f>_xlfn.XLOOKUP(Table5[[#This Row],[RiderID]], Rider_Directory!$F$2:$F$26, Rider_Directory!$B$2:$B$26)</f>
        <v>Butwal</v>
      </c>
      <c r="AC239" s="30" t="str" cm="1">
        <f t="array" ref="AC239">_xlfn.IFS(Table5[[#This Row],[Final Amount]]&lt;500, "Small", Table5[[#This Row],[Final Amount]]&lt;=1000, "Medium", Table5[[#This Row],[Final Amount]]&gt;1000, "Large")</f>
        <v>Small</v>
      </c>
      <c r="AD239" s="30" t="str">
        <f>_xlfn.LET(_xlpm.expiry,_xlfn.XLOOKUP(Table5[[#This Row],[PromoCode]],Promo_Codes!$A$2:$A$9,Promo_Codes!$F$2:$F$9,DATE(2099,1,1)),IF(Table5[[#This Row],[OrderDate]]&gt;_xlpm.expiry,"Expired Code Used","Valid"))</f>
        <v>Valid</v>
      </c>
    </row>
    <row r="240" spans="1:30" x14ac:dyDescent="0.3">
      <c r="A240" s="28" t="s">
        <v>989</v>
      </c>
      <c r="B240" s="27">
        <v>46009</v>
      </c>
      <c r="C240" s="28" t="s">
        <v>990</v>
      </c>
      <c r="D240" s="28" t="s">
        <v>1286</v>
      </c>
      <c r="E240" s="27">
        <v>46007</v>
      </c>
      <c r="F240" s="27" t="str">
        <f t="shared" si="9"/>
        <v>New</v>
      </c>
      <c r="G240" s="28" t="s">
        <v>123</v>
      </c>
      <c r="H240" s="28" t="s">
        <v>288</v>
      </c>
      <c r="I240" s="28" t="s">
        <v>156</v>
      </c>
      <c r="J240" s="28" t="s">
        <v>389</v>
      </c>
      <c r="K240" s="29">
        <v>4</v>
      </c>
      <c r="L240" s="28" t="s">
        <v>127</v>
      </c>
      <c r="M240" s="28" t="s">
        <v>247</v>
      </c>
      <c r="N240" s="28" t="s">
        <v>336</v>
      </c>
      <c r="O240" s="28" t="s">
        <v>130</v>
      </c>
      <c r="P240" s="28" t="str">
        <f t="shared" si="10"/>
        <v/>
      </c>
      <c r="Q240" s="29">
        <v>5</v>
      </c>
      <c r="R240" s="29">
        <v>39</v>
      </c>
      <c r="S240" s="28"/>
      <c r="T240" s="30" t="str">
        <f>_xlfn.CONCAT(Table5[[#This Row],[OrderID]]," | ",Table5[[#This Row],[City]]," | ",Table5[[#This Row],[ItemName]])</f>
        <v>ORD-1236 | Biratnagar | Veg Chopsuey</v>
      </c>
      <c r="U240" s="30" t="str">
        <f>UPPER(Table5[[#This Row],[City]])</f>
        <v>BIRATNAGAR</v>
      </c>
      <c r="V240" s="30" t="str">
        <f>LOWER(Table5[[#This Row],[PaymentMethod]])</f>
        <v>ime pay</v>
      </c>
      <c r="W240" s="30" cm="1">
        <f t="array" ref="W240">_xlfn.XLOOKUP(TRIM(Table5[[#This Row],[ItemName]]), TRIM(Menu_Price_List_tbl[ItemName]),Menu_Price_List_tbl[UnitPrice_NPR])</f>
        <v>260</v>
      </c>
      <c r="X240" s="31">
        <f t="shared" si="11"/>
        <v>1040</v>
      </c>
      <c r="Y240" s="30">
        <f>_xlfn.XLOOKUP(Table5[[#This Row],[City]],City_Delivery_Fee_tbl[City],City_Delivery_Fee_tbl[BaseDeliveryFee_NPR])</f>
        <v>90</v>
      </c>
      <c r="Z24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240" s="31">
        <f>Table5[[#This Row],[Order Amount]]+Table5[[#This Row],[Delivery Fee]]-Table5[[#This Row],[Discount Amount]]</f>
        <v>1080</v>
      </c>
      <c r="AB240" s="30" t="str">
        <f>_xlfn.XLOOKUP(Table5[[#This Row],[RiderID]], Rider_Directory!$F$2:$F$26, Rider_Directory!$B$2:$B$26)</f>
        <v>Biratnagar</v>
      </c>
      <c r="AC240" s="30" t="str" cm="1">
        <f t="array" ref="AC240">_xlfn.IFS(Table5[[#This Row],[Final Amount]]&lt;500, "Small", Table5[[#This Row],[Final Amount]]&lt;=1000, "Medium", Table5[[#This Row],[Final Amount]]&gt;1000, "Large")</f>
        <v>Large</v>
      </c>
      <c r="AD240" s="30" t="str">
        <f>_xlfn.LET(_xlpm.expiry,_xlfn.XLOOKUP(Table5[[#This Row],[PromoCode]],Promo_Codes!$A$2:$A$9,Promo_Codes!$F$2:$F$9,DATE(2099,1,1)),IF(Table5[[#This Row],[OrderDate]]&gt;_xlpm.expiry,"Expired Code Used","Valid"))</f>
        <v>Valid</v>
      </c>
    </row>
    <row r="241" spans="1:30" x14ac:dyDescent="0.3">
      <c r="A241" s="28" t="s">
        <v>1010</v>
      </c>
      <c r="B241" s="27">
        <v>46010</v>
      </c>
      <c r="C241" s="28" t="s">
        <v>430</v>
      </c>
      <c r="D241" s="28" t="s">
        <v>1209</v>
      </c>
      <c r="E241" s="27">
        <v>45917</v>
      </c>
      <c r="F241" s="27" t="str">
        <f t="shared" si="9"/>
        <v>Returning</v>
      </c>
      <c r="G241" s="28" t="s">
        <v>198</v>
      </c>
      <c r="H241" s="28" t="s">
        <v>232</v>
      </c>
      <c r="I241" s="28" t="s">
        <v>233</v>
      </c>
      <c r="J241" s="28" t="s">
        <v>246</v>
      </c>
      <c r="K241" s="29">
        <v>2</v>
      </c>
      <c r="L241" s="28" t="s">
        <v>201</v>
      </c>
      <c r="M241" s="28" t="s">
        <v>128</v>
      </c>
      <c r="N241" s="28"/>
      <c r="O241" s="28" t="s">
        <v>130</v>
      </c>
      <c r="P241" s="28" t="str">
        <f t="shared" si="10"/>
        <v/>
      </c>
      <c r="Q241" s="29">
        <v>5</v>
      </c>
      <c r="R241" s="29">
        <v>32</v>
      </c>
      <c r="S241" s="28"/>
      <c r="T241" s="30" t="str">
        <f>_xlfn.CONCAT(Table5[[#This Row],[OrderID]]," | ",Table5[[#This Row],[City]]," | ",Table5[[#This Row],[ItemName]])</f>
        <v>ORD-1237 | Lalitpur | Chicken Momo (Fried)</v>
      </c>
      <c r="U241" s="30" t="str">
        <f>UPPER(Table5[[#This Row],[City]])</f>
        <v>LALITPUR</v>
      </c>
      <c r="V241" s="30" t="str">
        <f>LOWER(Table5[[#This Row],[PaymentMethod]])</f>
        <v>esewa</v>
      </c>
      <c r="W241" s="30" cm="1">
        <f t="array" ref="W241">_xlfn.XLOOKUP(TRIM(Table5[[#This Row],[ItemName]]), TRIM(Menu_Price_List_tbl[ItemName]),Menu_Price_List_tbl[UnitPrice_NPR])</f>
        <v>210</v>
      </c>
      <c r="X241" s="31">
        <f t="shared" si="11"/>
        <v>420</v>
      </c>
      <c r="Y241" s="30">
        <f>_xlfn.XLOOKUP(Table5[[#This Row],[City]],City_Delivery_Fee_tbl[City],City_Delivery_Fee_tbl[BaseDeliveryFee_NPR])</f>
        <v>50</v>
      </c>
      <c r="Z24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41" s="31">
        <f>Table5[[#This Row],[Order Amount]]+Table5[[#This Row],[Delivery Fee]]-Table5[[#This Row],[Discount Amount]]</f>
        <v>470</v>
      </c>
      <c r="AB241" s="30" t="str">
        <f>_xlfn.XLOOKUP(Table5[[#This Row],[RiderID]], Rider_Directory!$F$2:$F$26, Rider_Directory!$B$2:$B$26)</f>
        <v>Lalitpur</v>
      </c>
      <c r="AC241" s="30" t="str" cm="1">
        <f t="array" ref="AC241">_xlfn.IFS(Table5[[#This Row],[Final Amount]]&lt;500, "Small", Table5[[#This Row],[Final Amount]]&lt;=1000, "Medium", Table5[[#This Row],[Final Amount]]&gt;1000, "Large")</f>
        <v>Small</v>
      </c>
      <c r="AD241" s="30" t="str">
        <f>_xlfn.LET(_xlpm.expiry,_xlfn.XLOOKUP(Table5[[#This Row],[PromoCode]],Promo_Codes!$A$2:$A$9,Promo_Codes!$F$2:$F$9,DATE(2099,1,1)),IF(Table5[[#This Row],[OrderDate]]&gt;_xlpm.expiry,"Expired Code Used","Valid"))</f>
        <v>Valid</v>
      </c>
    </row>
    <row r="242" spans="1:30" x14ac:dyDescent="0.3">
      <c r="A242" s="28" t="s">
        <v>609</v>
      </c>
      <c r="B242" s="27">
        <v>46010</v>
      </c>
      <c r="C242" s="28" t="s">
        <v>610</v>
      </c>
      <c r="D242" s="28" t="s">
        <v>1238</v>
      </c>
      <c r="E242" s="27">
        <v>45916</v>
      </c>
      <c r="F242" s="27" t="str">
        <f t="shared" si="9"/>
        <v>Returning</v>
      </c>
      <c r="G242" s="28" t="s">
        <v>135</v>
      </c>
      <c r="H242" s="28" t="s">
        <v>199</v>
      </c>
      <c r="I242" s="28" t="s">
        <v>179</v>
      </c>
      <c r="J242" s="28" t="s">
        <v>180</v>
      </c>
      <c r="K242" s="29">
        <v>1</v>
      </c>
      <c r="L242" s="28" t="s">
        <v>265</v>
      </c>
      <c r="M242" s="28" t="s">
        <v>128</v>
      </c>
      <c r="N242" s="28" t="s">
        <v>518</v>
      </c>
      <c r="O242" s="28" t="s">
        <v>235</v>
      </c>
      <c r="P242" s="28" t="str">
        <f t="shared" si="10"/>
        <v/>
      </c>
      <c r="Q242" s="28"/>
      <c r="R242" s="29">
        <v>32</v>
      </c>
      <c r="S242" s="28"/>
      <c r="T242" s="30" t="str">
        <f>_xlfn.CONCAT(Table5[[#This Row],[OrderID]]," | ",Table5[[#This Row],[City]]," | ",Table5[[#This Row],[ItemName]])</f>
        <v>ORD-1238 | Kathmandu | Veg Fried Rice</v>
      </c>
      <c r="U242" s="30" t="str">
        <f>UPPER(Table5[[#This Row],[City]])</f>
        <v>KATHMANDU</v>
      </c>
      <c r="V242" s="30" t="str">
        <f>LOWER(Table5[[#This Row],[PaymentMethod]])</f>
        <v>esewa</v>
      </c>
      <c r="W242" s="30" cm="1">
        <f t="array" ref="W242">_xlfn.XLOOKUP(TRIM(Table5[[#This Row],[ItemName]]), TRIM(Menu_Price_List_tbl[ItemName]),Menu_Price_List_tbl[UnitPrice_NPR])</f>
        <v>220</v>
      </c>
      <c r="X242" s="31">
        <f t="shared" si="11"/>
        <v>220</v>
      </c>
      <c r="Y242" s="30">
        <f>_xlfn.XLOOKUP(Table5[[#This Row],[City]],City_Delivery_Fee_tbl[City],City_Delivery_Fee_tbl[BaseDeliveryFee_NPR])</f>
        <v>50</v>
      </c>
      <c r="Z24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242" s="31">
        <f>Table5[[#This Row],[Order Amount]]+Table5[[#This Row],[Delivery Fee]]-Table5[[#This Row],[Discount Amount]]</f>
        <v>170</v>
      </c>
      <c r="AB242" s="30" t="str">
        <f>_xlfn.XLOOKUP(Table5[[#This Row],[RiderID]], Rider_Directory!$F$2:$F$26, Rider_Directory!$B$2:$B$26)</f>
        <v>Kathmandu</v>
      </c>
      <c r="AC242" s="30" t="str" cm="1">
        <f t="array" ref="AC242">_xlfn.IFS(Table5[[#This Row],[Final Amount]]&lt;500, "Small", Table5[[#This Row],[Final Amount]]&lt;=1000, "Medium", Table5[[#This Row],[Final Amount]]&gt;1000, "Large")</f>
        <v>Small</v>
      </c>
      <c r="AD242" s="30" t="str">
        <f>_xlfn.LET(_xlpm.expiry,_xlfn.XLOOKUP(Table5[[#This Row],[PromoCode]],Promo_Codes!$A$2:$A$9,Promo_Codes!$F$2:$F$9,DATE(2099,1,1)),IF(Table5[[#This Row],[OrderDate]]&gt;_xlpm.expiry,"Expired Code Used","Valid"))</f>
        <v>Valid</v>
      </c>
    </row>
    <row r="243" spans="1:30" x14ac:dyDescent="0.3">
      <c r="A243" s="28" t="s">
        <v>1026</v>
      </c>
      <c r="B243" s="27">
        <v>46011</v>
      </c>
      <c r="C243" s="28" t="s">
        <v>215</v>
      </c>
      <c r="D243" s="28" t="s">
        <v>1169</v>
      </c>
      <c r="E243" s="27">
        <v>45957</v>
      </c>
      <c r="F243" s="27" t="str">
        <f t="shared" si="9"/>
        <v>Returning</v>
      </c>
      <c r="G243" s="28" t="s">
        <v>135</v>
      </c>
      <c r="H243" s="28" t="s">
        <v>331</v>
      </c>
      <c r="I243" s="28" t="s">
        <v>164</v>
      </c>
      <c r="J243" s="28" t="s">
        <v>393</v>
      </c>
      <c r="K243" s="29">
        <v>3</v>
      </c>
      <c r="L243" s="28" t="s">
        <v>277</v>
      </c>
      <c r="M243" s="28" t="s">
        <v>140</v>
      </c>
      <c r="N243" s="28"/>
      <c r="O243" s="28" t="s">
        <v>279</v>
      </c>
      <c r="P243" s="28" t="str">
        <f t="shared" si="10"/>
        <v/>
      </c>
      <c r="Q243" s="28"/>
      <c r="R243" s="29">
        <v>23</v>
      </c>
      <c r="S243" s="28" t="s">
        <v>359</v>
      </c>
      <c r="T243" s="30" t="str">
        <f>_xlfn.CONCAT(Table5[[#This Row],[OrderID]]," | ",Table5[[#This Row],[City]]," | ",Table5[[#This Row],[ItemName]])</f>
        <v>ORD-1239 | Kathmandu | Lemon Soda</v>
      </c>
      <c r="U243" s="30" t="str">
        <f>UPPER(Table5[[#This Row],[City]])</f>
        <v>KATHMANDU</v>
      </c>
      <c r="V243" s="30" t="str">
        <f>LOWER(Table5[[#This Row],[PaymentMethod]])</f>
        <v>cash on delivery</v>
      </c>
      <c r="W243" s="30" cm="1">
        <f t="array" ref="W243">_xlfn.XLOOKUP(TRIM(Table5[[#This Row],[ItemName]]), TRIM(Menu_Price_List_tbl[ItemName]),Menu_Price_List_tbl[UnitPrice_NPR])</f>
        <v>100</v>
      </c>
      <c r="X243" s="31">
        <f t="shared" si="11"/>
        <v>300</v>
      </c>
      <c r="Y243" s="30">
        <f>_xlfn.XLOOKUP(Table5[[#This Row],[City]],City_Delivery_Fee_tbl[City],City_Delivery_Fee_tbl[BaseDeliveryFee_NPR])</f>
        <v>50</v>
      </c>
      <c r="Z24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43" s="31">
        <f>Table5[[#This Row],[Order Amount]]+Table5[[#This Row],[Delivery Fee]]-Table5[[#This Row],[Discount Amount]]</f>
        <v>350</v>
      </c>
      <c r="AB243" s="30" t="str">
        <f>_xlfn.XLOOKUP(Table5[[#This Row],[RiderID]], Rider_Directory!$F$2:$F$26, Rider_Directory!$B$2:$B$26)</f>
        <v>Kathmandu</v>
      </c>
      <c r="AC243" s="30" t="str" cm="1">
        <f t="array" ref="AC243">_xlfn.IFS(Table5[[#This Row],[Final Amount]]&lt;500, "Small", Table5[[#This Row],[Final Amount]]&lt;=1000, "Medium", Table5[[#This Row],[Final Amount]]&gt;1000, "Large")</f>
        <v>Small</v>
      </c>
      <c r="AD243" s="30" t="str">
        <f>_xlfn.LET(_xlpm.expiry,_xlfn.XLOOKUP(Table5[[#This Row],[PromoCode]],Promo_Codes!$A$2:$A$9,Promo_Codes!$F$2:$F$9,DATE(2099,1,1)),IF(Table5[[#This Row],[OrderDate]]&gt;_xlpm.expiry,"Expired Code Used","Valid"))</f>
        <v>Valid</v>
      </c>
    </row>
    <row r="244" spans="1:30" x14ac:dyDescent="0.3">
      <c r="A244" s="28" t="s">
        <v>823</v>
      </c>
      <c r="B244" s="27">
        <v>46011</v>
      </c>
      <c r="C244" s="28" t="s">
        <v>1150</v>
      </c>
      <c r="D244" s="28" t="s">
        <v>1270</v>
      </c>
      <c r="E244" s="27">
        <v>45875</v>
      </c>
      <c r="F244" s="27" t="str">
        <f t="shared" si="9"/>
        <v>Returning</v>
      </c>
      <c r="G244" s="28" t="s">
        <v>170</v>
      </c>
      <c r="H244" s="28" t="s">
        <v>232</v>
      </c>
      <c r="I244" s="28" t="s">
        <v>233</v>
      </c>
      <c r="J244" s="28" t="s">
        <v>363</v>
      </c>
      <c r="K244" s="29">
        <v>3</v>
      </c>
      <c r="L244" s="28" t="s">
        <v>158</v>
      </c>
      <c r="M244" s="28" t="s">
        <v>247</v>
      </c>
      <c r="N244" s="28"/>
      <c r="O244" s="28" t="s">
        <v>130</v>
      </c>
      <c r="P244" s="28" t="str">
        <f t="shared" si="10"/>
        <v/>
      </c>
      <c r="Q244" s="29">
        <v>3</v>
      </c>
      <c r="R244" s="29">
        <v>38</v>
      </c>
      <c r="S244" s="28" t="s">
        <v>826</v>
      </c>
      <c r="T244" s="30" t="str">
        <f>_xlfn.CONCAT(Table5[[#This Row],[OrderID]]," | ",Table5[[#This Row],[City]]," | ",Table5[[#This Row],[ItemName]])</f>
        <v>ORD-1240 | Butwal | Jhol Momo</v>
      </c>
      <c r="U244" s="30" t="str">
        <f>UPPER(Table5[[#This Row],[City]])</f>
        <v>BUTWAL</v>
      </c>
      <c r="V244" s="30" t="str">
        <f>LOWER(Table5[[#This Row],[PaymentMethod]])</f>
        <v>ime pay</v>
      </c>
      <c r="W244" s="30" cm="1">
        <f t="array" ref="W244">_xlfn.XLOOKUP(TRIM(Table5[[#This Row],[ItemName]]), TRIM(Menu_Price_List_tbl[ItemName]),Menu_Price_List_tbl[UnitPrice_NPR])</f>
        <v>200</v>
      </c>
      <c r="X244" s="31">
        <f t="shared" si="11"/>
        <v>600</v>
      </c>
      <c r="Y244" s="30">
        <f>_xlfn.XLOOKUP(Table5[[#This Row],[City]],City_Delivery_Fee_tbl[City],City_Delivery_Fee_tbl[BaseDeliveryFee_NPR])</f>
        <v>85</v>
      </c>
      <c r="Z24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44" s="31">
        <f>Table5[[#This Row],[Order Amount]]+Table5[[#This Row],[Delivery Fee]]-Table5[[#This Row],[Discount Amount]]</f>
        <v>685</v>
      </c>
      <c r="AB244" s="30" t="str">
        <f>_xlfn.XLOOKUP(Table5[[#This Row],[RiderID]], Rider_Directory!$F$2:$F$26, Rider_Directory!$B$2:$B$26)</f>
        <v>Butwal</v>
      </c>
      <c r="AC244" s="30" t="str" cm="1">
        <f t="array" ref="AC244">_xlfn.IFS(Table5[[#This Row],[Final Amount]]&lt;500, "Small", Table5[[#This Row],[Final Amount]]&lt;=1000, "Medium", Table5[[#This Row],[Final Amount]]&gt;1000, "Large")</f>
        <v>Medium</v>
      </c>
      <c r="AD244" s="30" t="str">
        <f>_xlfn.LET(_xlpm.expiry,_xlfn.XLOOKUP(Table5[[#This Row],[PromoCode]],Promo_Codes!$A$2:$A$9,Promo_Codes!$F$2:$F$9,DATE(2099,1,1)),IF(Table5[[#This Row],[OrderDate]]&gt;_xlpm.expiry,"Expired Code Used","Valid"))</f>
        <v>Valid</v>
      </c>
    </row>
    <row r="245" spans="1:30" x14ac:dyDescent="0.3">
      <c r="A245" s="28" t="s">
        <v>998</v>
      </c>
      <c r="B245" s="27">
        <v>46012</v>
      </c>
      <c r="C245" s="28" t="s">
        <v>610</v>
      </c>
      <c r="D245" s="28" t="s">
        <v>1238</v>
      </c>
      <c r="E245" s="27">
        <v>45916</v>
      </c>
      <c r="F245" s="27" t="str">
        <f t="shared" si="9"/>
        <v>Returning</v>
      </c>
      <c r="G245" s="28" t="s">
        <v>135</v>
      </c>
      <c r="H245" s="28" t="s">
        <v>163</v>
      </c>
      <c r="I245" s="28" t="s">
        <v>164</v>
      </c>
      <c r="J245" s="28" t="s">
        <v>517</v>
      </c>
      <c r="K245" s="29">
        <v>3</v>
      </c>
      <c r="L245" s="28" t="s">
        <v>277</v>
      </c>
      <c r="M245" s="28" t="s">
        <v>128</v>
      </c>
      <c r="N245" s="28"/>
      <c r="O245" s="28" t="s">
        <v>130</v>
      </c>
      <c r="P245" s="28" t="str">
        <f t="shared" si="10"/>
        <v/>
      </c>
      <c r="Q245" s="29">
        <v>5</v>
      </c>
      <c r="R245" s="29">
        <v>32</v>
      </c>
      <c r="S245" s="28" t="s">
        <v>141</v>
      </c>
      <c r="T245" s="30" t="str">
        <f>_xlfn.CONCAT(Table5[[#This Row],[OrderID]]," | ",Table5[[#This Row],[City]]," | ",Table5[[#This Row],[ItemName]])</f>
        <v>ORD-1241 | Kathmandu | Mango Juice</v>
      </c>
      <c r="U245" s="30" t="str">
        <f>UPPER(Table5[[#This Row],[City]])</f>
        <v>KATHMANDU</v>
      </c>
      <c r="V245" s="30" t="str">
        <f>LOWER(Table5[[#This Row],[PaymentMethod]])</f>
        <v>esewa</v>
      </c>
      <c r="W245" s="30" cm="1">
        <f t="array" ref="W245">_xlfn.XLOOKUP(TRIM(Table5[[#This Row],[ItemName]]), TRIM(Menu_Price_List_tbl[ItemName]),Menu_Price_List_tbl[UnitPrice_NPR])</f>
        <v>120</v>
      </c>
      <c r="X245" s="31">
        <f t="shared" si="11"/>
        <v>360</v>
      </c>
      <c r="Y245" s="30">
        <f>_xlfn.XLOOKUP(Table5[[#This Row],[City]],City_Delivery_Fee_tbl[City],City_Delivery_Fee_tbl[BaseDeliveryFee_NPR])</f>
        <v>50</v>
      </c>
      <c r="Z24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45" s="31">
        <f>Table5[[#This Row],[Order Amount]]+Table5[[#This Row],[Delivery Fee]]-Table5[[#This Row],[Discount Amount]]</f>
        <v>410</v>
      </c>
      <c r="AB245" s="30" t="str">
        <f>_xlfn.XLOOKUP(Table5[[#This Row],[RiderID]], Rider_Directory!$F$2:$F$26, Rider_Directory!$B$2:$B$26)</f>
        <v>Kathmandu</v>
      </c>
      <c r="AC245" s="30" t="str" cm="1">
        <f t="array" ref="AC245">_xlfn.IFS(Table5[[#This Row],[Final Amount]]&lt;500, "Small", Table5[[#This Row],[Final Amount]]&lt;=1000, "Medium", Table5[[#This Row],[Final Amount]]&gt;1000, "Large")</f>
        <v>Small</v>
      </c>
      <c r="AD245" s="30" t="str">
        <f>_xlfn.LET(_xlpm.expiry,_xlfn.XLOOKUP(Table5[[#This Row],[PromoCode]],Promo_Codes!$A$2:$A$9,Promo_Codes!$F$2:$F$9,DATE(2099,1,1)),IF(Table5[[#This Row],[OrderDate]]&gt;_xlpm.expiry,"Expired Code Used","Valid"))</f>
        <v>Valid</v>
      </c>
    </row>
    <row r="246" spans="1:30" x14ac:dyDescent="0.3">
      <c r="A246" s="28" t="s">
        <v>1038</v>
      </c>
      <c r="B246" s="27">
        <v>46012</v>
      </c>
      <c r="C246" s="28" t="s">
        <v>764</v>
      </c>
      <c r="D246" s="28" t="s">
        <v>1262</v>
      </c>
      <c r="E246" s="27">
        <v>45767</v>
      </c>
      <c r="F246" s="27" t="str">
        <f t="shared" si="9"/>
        <v>Returning</v>
      </c>
      <c r="G246" s="28" t="s">
        <v>145</v>
      </c>
      <c r="H246" s="28" t="s">
        <v>199</v>
      </c>
      <c r="I246" s="28" t="s">
        <v>179</v>
      </c>
      <c r="J246" s="28" t="s">
        <v>723</v>
      </c>
      <c r="K246" s="29">
        <v>3</v>
      </c>
      <c r="L246" s="28" t="s">
        <v>149</v>
      </c>
      <c r="M246" s="28" t="s">
        <v>140</v>
      </c>
      <c r="N246" s="28"/>
      <c r="O246" s="28" t="s">
        <v>279</v>
      </c>
      <c r="P246" s="28" t="str">
        <f t="shared" si="10"/>
        <v/>
      </c>
      <c r="Q246" s="28"/>
      <c r="R246" s="29">
        <v>62</v>
      </c>
      <c r="S246" s="28" t="s">
        <v>359</v>
      </c>
      <c r="T246" s="30" t="str">
        <f>_xlfn.CONCAT(Table5[[#This Row],[OrderID]]," | ",Table5[[#This Row],[City]]," | ",Table5[[#This Row],[ItemName]])</f>
        <v>ORD-1242 | Chitwan |   Veg Fried Rice</v>
      </c>
      <c r="U246" s="30" t="str">
        <f>UPPER(Table5[[#This Row],[City]])</f>
        <v>CHITWAN</v>
      </c>
      <c r="V246" s="30" t="str">
        <f>LOWER(Table5[[#This Row],[PaymentMethod]])</f>
        <v>cash on delivery</v>
      </c>
      <c r="W246" s="30" cm="1">
        <f t="array" ref="W246">_xlfn.XLOOKUP(TRIM(Table5[[#This Row],[ItemName]]), TRIM(Menu_Price_List_tbl[ItemName]),Menu_Price_List_tbl[UnitPrice_NPR])</f>
        <v>220</v>
      </c>
      <c r="X246" s="31">
        <f t="shared" si="11"/>
        <v>660</v>
      </c>
      <c r="Y246" s="30">
        <f>_xlfn.XLOOKUP(Table5[[#This Row],[City]],City_Delivery_Fee_tbl[City],City_Delivery_Fee_tbl[BaseDeliveryFee_NPR])</f>
        <v>80</v>
      </c>
      <c r="Z24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46" s="31">
        <f>Table5[[#This Row],[Order Amount]]+Table5[[#This Row],[Delivery Fee]]-Table5[[#This Row],[Discount Amount]]</f>
        <v>740</v>
      </c>
      <c r="AB246" s="30" t="str">
        <f>_xlfn.XLOOKUP(Table5[[#This Row],[RiderID]], Rider_Directory!$F$2:$F$26, Rider_Directory!$B$2:$B$26)</f>
        <v>Chitwan</v>
      </c>
      <c r="AC246" s="30" t="str" cm="1">
        <f t="array" ref="AC246">_xlfn.IFS(Table5[[#This Row],[Final Amount]]&lt;500, "Small", Table5[[#This Row],[Final Amount]]&lt;=1000, "Medium", Table5[[#This Row],[Final Amount]]&gt;1000, "Large")</f>
        <v>Medium</v>
      </c>
      <c r="AD246" s="30" t="str">
        <f>_xlfn.LET(_xlpm.expiry,_xlfn.XLOOKUP(Table5[[#This Row],[PromoCode]],Promo_Codes!$A$2:$A$9,Promo_Codes!$F$2:$F$9,DATE(2099,1,1)),IF(Table5[[#This Row],[OrderDate]]&gt;_xlpm.expiry,"Expired Code Used","Valid"))</f>
        <v>Valid</v>
      </c>
    </row>
    <row r="247" spans="1:30" x14ac:dyDescent="0.3">
      <c r="A247" s="28" t="s">
        <v>496</v>
      </c>
      <c r="B247" s="27">
        <v>46013</v>
      </c>
      <c r="C247" s="28" t="s">
        <v>168</v>
      </c>
      <c r="D247" s="28" t="s">
        <v>1164</v>
      </c>
      <c r="E247" s="27">
        <v>45963</v>
      </c>
      <c r="F247" s="27" t="str">
        <f t="shared" si="9"/>
        <v>Returning</v>
      </c>
      <c r="G247" s="28" t="s">
        <v>145</v>
      </c>
      <c r="H247" s="28" t="s">
        <v>232</v>
      </c>
      <c r="I247" s="28" t="s">
        <v>233</v>
      </c>
      <c r="J247" s="28" t="s">
        <v>499</v>
      </c>
      <c r="K247" s="29">
        <v>4</v>
      </c>
      <c r="L247" s="28" t="s">
        <v>450</v>
      </c>
      <c r="M247" s="28" t="s">
        <v>140</v>
      </c>
      <c r="N247" s="28" t="s">
        <v>336</v>
      </c>
      <c r="O247" s="28" t="s">
        <v>279</v>
      </c>
      <c r="P247" s="28" t="str">
        <f t="shared" si="10"/>
        <v/>
      </c>
      <c r="Q247" s="28"/>
      <c r="R247" s="29">
        <v>54</v>
      </c>
      <c r="S247" s="28"/>
      <c r="T247" s="30" t="str">
        <f>_xlfn.CONCAT(Table5[[#This Row],[OrderID]]," | ",Table5[[#This Row],[City]]," | ",Table5[[#This Row],[ItemName]])</f>
        <v>ORD-1243 | Chitwan | Chilli Momo</v>
      </c>
      <c r="U247" s="30" t="str">
        <f>UPPER(Table5[[#This Row],[City]])</f>
        <v>CHITWAN</v>
      </c>
      <c r="V247" s="30" t="str">
        <f>LOWER(Table5[[#This Row],[PaymentMethod]])</f>
        <v>cash on delivery</v>
      </c>
      <c r="W247" s="30" cm="1">
        <f t="array" ref="W247">_xlfn.XLOOKUP(TRIM(Table5[[#This Row],[ItemName]]), TRIM(Menu_Price_List_tbl[ItemName]),Menu_Price_List_tbl[UnitPrice_NPR])</f>
        <v>220</v>
      </c>
      <c r="X247" s="31">
        <f t="shared" si="11"/>
        <v>880</v>
      </c>
      <c r="Y247" s="30">
        <f>_xlfn.XLOOKUP(Table5[[#This Row],[City]],City_Delivery_Fee_tbl[City],City_Delivery_Fee_tbl[BaseDeliveryFee_NPR])</f>
        <v>80</v>
      </c>
      <c r="Z24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247" s="31">
        <f>Table5[[#This Row],[Order Amount]]+Table5[[#This Row],[Delivery Fee]]-Table5[[#This Row],[Discount Amount]]</f>
        <v>910</v>
      </c>
      <c r="AB247" s="30" t="str">
        <f>_xlfn.XLOOKUP(Table5[[#This Row],[RiderID]], Rider_Directory!$F$2:$F$26, Rider_Directory!$B$2:$B$26)</f>
        <v>Chitwan</v>
      </c>
      <c r="AC247" s="30" t="str" cm="1">
        <f t="array" ref="AC247">_xlfn.IFS(Table5[[#This Row],[Final Amount]]&lt;500, "Small", Table5[[#This Row],[Final Amount]]&lt;=1000, "Medium", Table5[[#This Row],[Final Amount]]&gt;1000, "Large")</f>
        <v>Medium</v>
      </c>
      <c r="AD247" s="30" t="str">
        <f>_xlfn.LET(_xlpm.expiry,_xlfn.XLOOKUP(Table5[[#This Row],[PromoCode]],Promo_Codes!$A$2:$A$9,Promo_Codes!$F$2:$F$9,DATE(2099,1,1)),IF(Table5[[#This Row],[OrderDate]]&gt;_xlpm.expiry,"Expired Code Used","Valid"))</f>
        <v>Valid</v>
      </c>
    </row>
    <row r="248" spans="1:30" x14ac:dyDescent="0.3">
      <c r="A248" s="28" t="s">
        <v>466</v>
      </c>
      <c r="B248" s="27">
        <v>46013</v>
      </c>
      <c r="C248" s="28" t="s">
        <v>608</v>
      </c>
      <c r="D248" s="28" t="s">
        <v>1214</v>
      </c>
      <c r="E248" s="27">
        <v>45889</v>
      </c>
      <c r="F248" s="27" t="str">
        <f t="shared" si="9"/>
        <v>Returning</v>
      </c>
      <c r="G248" s="28" t="s">
        <v>135</v>
      </c>
      <c r="H248" s="28" t="s">
        <v>339</v>
      </c>
      <c r="I248" s="28" t="s">
        <v>233</v>
      </c>
      <c r="J248" s="28" t="s">
        <v>468</v>
      </c>
      <c r="K248" s="29">
        <v>4</v>
      </c>
      <c r="L248" s="28" t="s">
        <v>223</v>
      </c>
      <c r="M248" s="28" t="s">
        <v>159</v>
      </c>
      <c r="N248" s="28"/>
      <c r="O248" s="28" t="s">
        <v>279</v>
      </c>
      <c r="P248" s="28" t="str">
        <f t="shared" si="10"/>
        <v/>
      </c>
      <c r="Q248" s="28"/>
      <c r="R248" s="29">
        <v>26</v>
      </c>
      <c r="S248" s="28"/>
      <c r="T248" s="30" t="str">
        <f>_xlfn.CONCAT(Table5[[#This Row],[OrderID]]," | ",Table5[[#This Row],[City]]," | ",Table5[[#This Row],[ItemName]])</f>
        <v>ORD-1244 | Kathmandu | veg momo (fried)</v>
      </c>
      <c r="U248" s="30" t="str">
        <f>UPPER(Table5[[#This Row],[City]])</f>
        <v>KATHMANDU</v>
      </c>
      <c r="V248" s="30" t="str">
        <f>LOWER(Table5[[#This Row],[PaymentMethod]])</f>
        <v>khalti</v>
      </c>
      <c r="W248" s="30" cm="1">
        <f t="array" ref="W248">_xlfn.XLOOKUP(TRIM(Table5[[#This Row],[ItemName]]), TRIM(Menu_Price_List_tbl[ItemName]),Menu_Price_List_tbl[UnitPrice_NPR])</f>
        <v>160</v>
      </c>
      <c r="X248" s="31">
        <f t="shared" si="11"/>
        <v>640</v>
      </c>
      <c r="Y248" s="30">
        <f>_xlfn.XLOOKUP(Table5[[#This Row],[City]],City_Delivery_Fee_tbl[City],City_Delivery_Fee_tbl[BaseDeliveryFee_NPR])</f>
        <v>50</v>
      </c>
      <c r="Z24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48" s="31">
        <f>Table5[[#This Row],[Order Amount]]+Table5[[#This Row],[Delivery Fee]]-Table5[[#This Row],[Discount Amount]]</f>
        <v>690</v>
      </c>
      <c r="AB248" s="30" t="str">
        <f>_xlfn.XLOOKUP(Table5[[#This Row],[RiderID]], Rider_Directory!$F$2:$F$26, Rider_Directory!$B$2:$B$26)</f>
        <v>Kathmandu</v>
      </c>
      <c r="AC248" s="30" t="str" cm="1">
        <f t="array" ref="AC248">_xlfn.IFS(Table5[[#This Row],[Final Amount]]&lt;500, "Small", Table5[[#This Row],[Final Amount]]&lt;=1000, "Medium", Table5[[#This Row],[Final Amount]]&gt;1000, "Large")</f>
        <v>Medium</v>
      </c>
      <c r="AD248" s="30" t="str">
        <f>_xlfn.LET(_xlpm.expiry,_xlfn.XLOOKUP(Table5[[#This Row],[PromoCode]],Promo_Codes!$A$2:$A$9,Promo_Codes!$F$2:$F$9,DATE(2099,1,1)),IF(Table5[[#This Row],[OrderDate]]&gt;_xlpm.expiry,"Expired Code Used","Valid"))</f>
        <v>Valid</v>
      </c>
    </row>
    <row r="249" spans="1:30" x14ac:dyDescent="0.3">
      <c r="A249" s="28" t="s">
        <v>589</v>
      </c>
      <c r="B249" s="27">
        <v>46014</v>
      </c>
      <c r="C249" s="28" t="s">
        <v>1135</v>
      </c>
      <c r="D249" s="28" t="s">
        <v>1235</v>
      </c>
      <c r="E249" s="27">
        <v>46013</v>
      </c>
      <c r="F249" s="27" t="str">
        <f t="shared" si="9"/>
        <v>New</v>
      </c>
      <c r="G249" s="28" t="s">
        <v>177</v>
      </c>
      <c r="H249" s="28" t="s">
        <v>339</v>
      </c>
      <c r="I249" s="28" t="s">
        <v>233</v>
      </c>
      <c r="J249" s="28" t="s">
        <v>301</v>
      </c>
      <c r="K249" s="29">
        <v>1</v>
      </c>
      <c r="L249" s="28" t="s">
        <v>181</v>
      </c>
      <c r="M249" s="28" t="s">
        <v>128</v>
      </c>
      <c r="N249" s="28"/>
      <c r="O249" s="28" t="s">
        <v>130</v>
      </c>
      <c r="P249" s="28" t="str">
        <f t="shared" si="10"/>
        <v/>
      </c>
      <c r="Q249" s="29">
        <v>4</v>
      </c>
      <c r="R249" s="29">
        <v>34</v>
      </c>
      <c r="S249" s="28" t="s">
        <v>141</v>
      </c>
      <c r="T249" s="30" t="str">
        <f>_xlfn.CONCAT(Table5[[#This Row],[OrderID]]," | ",Table5[[#This Row],[City]]," | ",Table5[[#This Row],[ItemName]])</f>
        <v>ORD-1245 | Bhaktapur | Veg Momo (Steamed)</v>
      </c>
      <c r="U249" s="30" t="str">
        <f>UPPER(Table5[[#This Row],[City]])</f>
        <v>BHAKTAPUR</v>
      </c>
      <c r="V249" s="30" t="str">
        <f>LOWER(Table5[[#This Row],[PaymentMethod]])</f>
        <v>esewa</v>
      </c>
      <c r="W249" s="30" cm="1">
        <f t="array" ref="W249">_xlfn.XLOOKUP(TRIM(Table5[[#This Row],[ItemName]]), TRIM(Menu_Price_List_tbl[ItemName]),Menu_Price_List_tbl[UnitPrice_NPR])</f>
        <v>150</v>
      </c>
      <c r="X249" s="31">
        <f t="shared" si="11"/>
        <v>150</v>
      </c>
      <c r="Y249" s="30">
        <f>_xlfn.XLOOKUP(Table5[[#This Row],[City]],City_Delivery_Fee_tbl[City],City_Delivery_Fee_tbl[BaseDeliveryFee_NPR])</f>
        <v>55</v>
      </c>
      <c r="Z24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49" s="31">
        <f>Table5[[#This Row],[Order Amount]]+Table5[[#This Row],[Delivery Fee]]-Table5[[#This Row],[Discount Amount]]</f>
        <v>205</v>
      </c>
      <c r="AB249" s="30" t="str">
        <f>_xlfn.XLOOKUP(Table5[[#This Row],[RiderID]], Rider_Directory!$F$2:$F$26, Rider_Directory!$B$2:$B$26)</f>
        <v>Bhaktapur</v>
      </c>
      <c r="AC249" s="30" t="str" cm="1">
        <f t="array" ref="AC249">_xlfn.IFS(Table5[[#This Row],[Final Amount]]&lt;500, "Small", Table5[[#This Row],[Final Amount]]&lt;=1000, "Medium", Table5[[#This Row],[Final Amount]]&gt;1000, "Large")</f>
        <v>Small</v>
      </c>
      <c r="AD249" s="30" t="str">
        <f>_xlfn.LET(_xlpm.expiry,_xlfn.XLOOKUP(Table5[[#This Row],[PromoCode]],Promo_Codes!$A$2:$A$9,Promo_Codes!$F$2:$F$9,DATE(2099,1,1)),IF(Table5[[#This Row],[OrderDate]]&gt;_xlpm.expiry,"Expired Code Used","Valid"))</f>
        <v>Valid</v>
      </c>
    </row>
    <row r="250" spans="1:30" x14ac:dyDescent="0.3">
      <c r="A250" s="28" t="s">
        <v>930</v>
      </c>
      <c r="B250" s="27">
        <v>46014</v>
      </c>
      <c r="C250" s="28" t="s">
        <v>931</v>
      </c>
      <c r="D250" s="28" t="s">
        <v>1281</v>
      </c>
      <c r="E250" s="27">
        <v>46014</v>
      </c>
      <c r="F250" s="27" t="str">
        <f t="shared" si="9"/>
        <v>New</v>
      </c>
      <c r="G250" s="28" t="s">
        <v>135</v>
      </c>
      <c r="H250" s="28" t="s">
        <v>136</v>
      </c>
      <c r="I250" s="28" t="s">
        <v>137</v>
      </c>
      <c r="J250" s="28" t="s">
        <v>593</v>
      </c>
      <c r="K250" s="29">
        <v>2</v>
      </c>
      <c r="L250" s="28" t="s">
        <v>139</v>
      </c>
      <c r="M250" s="28" t="s">
        <v>128</v>
      </c>
      <c r="N250" s="28" t="s">
        <v>129</v>
      </c>
      <c r="O250" s="28" t="s">
        <v>130</v>
      </c>
      <c r="P250" s="28" t="str">
        <f t="shared" si="10"/>
        <v/>
      </c>
      <c r="Q250" s="29">
        <v>4</v>
      </c>
      <c r="R250" s="29">
        <v>37</v>
      </c>
      <c r="S250" s="28"/>
      <c r="T250" s="30" t="str">
        <f>_xlfn.CONCAT(Table5[[#This Row],[OrderID]]," | ",Table5[[#This Row],[City]]," | ",Table5[[#This Row],[ItemName]])</f>
        <v>ORD-1246 | Kathmandu | Mutton Thakali Set</v>
      </c>
      <c r="U250" s="30" t="str">
        <f>UPPER(Table5[[#This Row],[City]])</f>
        <v>KATHMANDU</v>
      </c>
      <c r="V250" s="30" t="str">
        <f>LOWER(Table5[[#This Row],[PaymentMethod]])</f>
        <v>esewa</v>
      </c>
      <c r="W250" s="30" cm="1">
        <f t="array" ref="W250">_xlfn.XLOOKUP(TRIM(Table5[[#This Row],[ItemName]]), TRIM(Menu_Price_List_tbl[ItemName]),Menu_Price_List_tbl[UnitPrice_NPR])</f>
        <v>650</v>
      </c>
      <c r="X250" s="31">
        <f t="shared" si="11"/>
        <v>1300</v>
      </c>
      <c r="Y250" s="30">
        <f>_xlfn.XLOOKUP(Table5[[#This Row],[City]],City_Delivery_Fee_tbl[City],City_Delivery_Fee_tbl[BaseDeliveryFee_NPR])</f>
        <v>50</v>
      </c>
      <c r="Z25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250" s="31">
        <f>Table5[[#This Row],[Order Amount]]+Table5[[#This Row],[Delivery Fee]]-Table5[[#This Row],[Discount Amount]]</f>
        <v>1250</v>
      </c>
      <c r="AB250" s="30" t="str">
        <f>_xlfn.XLOOKUP(Table5[[#This Row],[RiderID]], Rider_Directory!$F$2:$F$26, Rider_Directory!$B$2:$B$26)</f>
        <v>Kathmandu</v>
      </c>
      <c r="AC250" s="30" t="str" cm="1">
        <f t="array" ref="AC250">_xlfn.IFS(Table5[[#This Row],[Final Amount]]&lt;500, "Small", Table5[[#This Row],[Final Amount]]&lt;=1000, "Medium", Table5[[#This Row],[Final Amount]]&gt;1000, "Large")</f>
        <v>Large</v>
      </c>
      <c r="AD250" s="30" t="str">
        <f>_xlfn.LET(_xlpm.expiry,_xlfn.XLOOKUP(Table5[[#This Row],[PromoCode]],Promo_Codes!$A$2:$A$9,Promo_Codes!$F$2:$F$9,DATE(2099,1,1)),IF(Table5[[#This Row],[OrderDate]]&gt;_xlpm.expiry,"Expired Code Used","Valid"))</f>
        <v>Expired Code Used</v>
      </c>
    </row>
    <row r="251" spans="1:30" x14ac:dyDescent="0.3">
      <c r="A251" s="28" t="s">
        <v>1028</v>
      </c>
      <c r="B251" s="27">
        <v>46014</v>
      </c>
      <c r="C251" s="28" t="s">
        <v>1143</v>
      </c>
      <c r="D251" s="28" t="s">
        <v>1257</v>
      </c>
      <c r="E251" s="27">
        <v>45874</v>
      </c>
      <c r="F251" s="27" t="str">
        <f t="shared" si="9"/>
        <v>Returning</v>
      </c>
      <c r="G251" s="28" t="s">
        <v>145</v>
      </c>
      <c r="H251" s="28" t="s">
        <v>232</v>
      </c>
      <c r="I251" s="28" t="s">
        <v>233</v>
      </c>
      <c r="J251" s="28" t="s">
        <v>363</v>
      </c>
      <c r="K251" s="29">
        <v>1</v>
      </c>
      <c r="L251" s="28" t="s">
        <v>307</v>
      </c>
      <c r="M251" s="28" t="s">
        <v>159</v>
      </c>
      <c r="N251" s="28"/>
      <c r="O251" s="28" t="s">
        <v>130</v>
      </c>
      <c r="P251" s="28" t="str">
        <f t="shared" si="10"/>
        <v/>
      </c>
      <c r="Q251" s="29">
        <v>4</v>
      </c>
      <c r="R251" s="29">
        <v>19</v>
      </c>
      <c r="S251" s="28"/>
      <c r="T251" s="30" t="str">
        <f>_xlfn.CONCAT(Table5[[#This Row],[OrderID]]," | ",Table5[[#This Row],[City]]," | ",Table5[[#This Row],[ItemName]])</f>
        <v>ORD-1247 | Chitwan | Jhol Momo</v>
      </c>
      <c r="U251" s="30" t="str">
        <f>UPPER(Table5[[#This Row],[City]])</f>
        <v>CHITWAN</v>
      </c>
      <c r="V251" s="30" t="str">
        <f>LOWER(Table5[[#This Row],[PaymentMethod]])</f>
        <v>khalti</v>
      </c>
      <c r="W251" s="30" cm="1">
        <f t="array" ref="W251">_xlfn.XLOOKUP(TRIM(Table5[[#This Row],[ItemName]]), TRIM(Menu_Price_List_tbl[ItemName]),Menu_Price_List_tbl[UnitPrice_NPR])</f>
        <v>200</v>
      </c>
      <c r="X251" s="31">
        <f t="shared" si="11"/>
        <v>200</v>
      </c>
      <c r="Y251" s="30">
        <f>_xlfn.XLOOKUP(Table5[[#This Row],[City]],City_Delivery_Fee_tbl[City],City_Delivery_Fee_tbl[BaseDeliveryFee_NPR])</f>
        <v>80</v>
      </c>
      <c r="Z25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51" s="31">
        <f>Table5[[#This Row],[Order Amount]]+Table5[[#This Row],[Delivery Fee]]-Table5[[#This Row],[Discount Amount]]</f>
        <v>280</v>
      </c>
      <c r="AB251" s="30" t="str">
        <f>_xlfn.XLOOKUP(Table5[[#This Row],[RiderID]], Rider_Directory!$F$2:$F$26, Rider_Directory!$B$2:$B$26)</f>
        <v>Chitwan</v>
      </c>
      <c r="AC251" s="30" t="str" cm="1">
        <f t="array" ref="AC251">_xlfn.IFS(Table5[[#This Row],[Final Amount]]&lt;500, "Small", Table5[[#This Row],[Final Amount]]&lt;=1000, "Medium", Table5[[#This Row],[Final Amount]]&gt;1000, "Large")</f>
        <v>Small</v>
      </c>
      <c r="AD251" s="30" t="str">
        <f>_xlfn.LET(_xlpm.expiry,_xlfn.XLOOKUP(Table5[[#This Row],[PromoCode]],Promo_Codes!$A$2:$A$9,Promo_Codes!$F$2:$F$9,DATE(2099,1,1)),IF(Table5[[#This Row],[OrderDate]]&gt;_xlpm.expiry,"Expired Code Used","Valid"))</f>
        <v>Valid</v>
      </c>
    </row>
    <row r="252" spans="1:30" x14ac:dyDescent="0.3">
      <c r="A252" s="28" t="s">
        <v>718</v>
      </c>
      <c r="B252" s="27">
        <v>46015</v>
      </c>
      <c r="C252" s="28" t="s">
        <v>719</v>
      </c>
      <c r="D252" s="28" t="s">
        <v>1256</v>
      </c>
      <c r="E252" s="27">
        <v>46013</v>
      </c>
      <c r="F252" s="27" t="str">
        <f t="shared" si="9"/>
        <v>New</v>
      </c>
      <c r="G252" s="28" t="s">
        <v>259</v>
      </c>
      <c r="H252" s="28" t="s">
        <v>178</v>
      </c>
      <c r="I252" s="28" t="s">
        <v>179</v>
      </c>
      <c r="J252" s="28" t="s">
        <v>398</v>
      </c>
      <c r="K252" s="29">
        <v>4</v>
      </c>
      <c r="L252" s="28" t="s">
        <v>260</v>
      </c>
      <c r="M252" s="28" t="s">
        <v>128</v>
      </c>
      <c r="N252" s="28"/>
      <c r="O252" s="28" t="s">
        <v>130</v>
      </c>
      <c r="P252" s="28" t="str">
        <f t="shared" si="10"/>
        <v/>
      </c>
      <c r="Q252" s="29">
        <v>4</v>
      </c>
      <c r="R252" s="29">
        <v>42</v>
      </c>
      <c r="S252" s="28"/>
      <c r="T252" s="30" t="str">
        <f>_xlfn.CONCAT(Table5[[#This Row],[OrderID]]," | ",Table5[[#This Row],[City]]," | ",Table5[[#This Row],[ItemName]])</f>
        <v>ORD-1248 | Dharan | chicken burger</v>
      </c>
      <c r="U252" s="30" t="str">
        <f>UPPER(Table5[[#This Row],[City]])</f>
        <v>DHARAN</v>
      </c>
      <c r="V252" s="30" t="str">
        <f>LOWER(Table5[[#This Row],[PaymentMethod]])</f>
        <v>esewa</v>
      </c>
      <c r="W252" s="30" cm="1">
        <f t="array" ref="W252">_xlfn.XLOOKUP(TRIM(Table5[[#This Row],[ItemName]]), TRIM(Menu_Price_List_tbl[ItemName]),Menu_Price_List_tbl[UnitPrice_NPR])</f>
        <v>280</v>
      </c>
      <c r="X252" s="31">
        <f t="shared" si="11"/>
        <v>1120</v>
      </c>
      <c r="Y252" s="30">
        <f>_xlfn.XLOOKUP(Table5[[#This Row],[City]],City_Delivery_Fee_tbl[City],City_Delivery_Fee_tbl[BaseDeliveryFee_NPR])</f>
        <v>95</v>
      </c>
      <c r="Z25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52" s="31">
        <f>Table5[[#This Row],[Order Amount]]+Table5[[#This Row],[Delivery Fee]]-Table5[[#This Row],[Discount Amount]]</f>
        <v>1215</v>
      </c>
      <c r="AB252" s="30" t="str">
        <f>_xlfn.XLOOKUP(Table5[[#This Row],[RiderID]], Rider_Directory!$F$2:$F$26, Rider_Directory!$B$2:$B$26)</f>
        <v>Dharan</v>
      </c>
      <c r="AC252" s="30" t="str" cm="1">
        <f t="array" ref="AC252">_xlfn.IFS(Table5[[#This Row],[Final Amount]]&lt;500, "Small", Table5[[#This Row],[Final Amount]]&lt;=1000, "Medium", Table5[[#This Row],[Final Amount]]&gt;1000, "Large")</f>
        <v>Large</v>
      </c>
      <c r="AD252" s="30" t="str">
        <f>_xlfn.LET(_xlpm.expiry,_xlfn.XLOOKUP(Table5[[#This Row],[PromoCode]],Promo_Codes!$A$2:$A$9,Promo_Codes!$F$2:$F$9,DATE(2099,1,1)),IF(Table5[[#This Row],[OrderDate]]&gt;_xlpm.expiry,"Expired Code Used","Valid"))</f>
        <v>Valid</v>
      </c>
    </row>
    <row r="253" spans="1:30" x14ac:dyDescent="0.3">
      <c r="A253" s="28" t="s">
        <v>1001</v>
      </c>
      <c r="B253" s="27">
        <v>46015</v>
      </c>
      <c r="C253" s="28" t="s">
        <v>257</v>
      </c>
      <c r="D253" s="28" t="s">
        <v>1178</v>
      </c>
      <c r="E253" s="27">
        <v>45947</v>
      </c>
      <c r="F253" s="27" t="str">
        <f t="shared" si="9"/>
        <v>Returning</v>
      </c>
      <c r="G253" s="28" t="s">
        <v>123</v>
      </c>
      <c r="H253" s="28" t="s">
        <v>171</v>
      </c>
      <c r="I253" s="28" t="s">
        <v>147</v>
      </c>
      <c r="J253" s="28" t="s">
        <v>787</v>
      </c>
      <c r="K253" s="29">
        <v>1</v>
      </c>
      <c r="L253" s="28" t="s">
        <v>290</v>
      </c>
      <c r="M253" s="28" t="s">
        <v>247</v>
      </c>
      <c r="N253" s="28"/>
      <c r="O253" s="28" t="s">
        <v>130</v>
      </c>
      <c r="P253" s="28" t="str">
        <f t="shared" si="10"/>
        <v/>
      </c>
      <c r="Q253" s="29">
        <v>4</v>
      </c>
      <c r="R253" s="29">
        <v>40</v>
      </c>
      <c r="S253" s="28"/>
      <c r="T253" s="30" t="str">
        <f>_xlfn.CONCAT(Table5[[#This Row],[OrderID]]," | ",Table5[[#This Row],[City]]," | ",Table5[[#This Row],[ItemName]])</f>
        <v>ORD-1249 | Biratnagar | LADDU (5 PCS)</v>
      </c>
      <c r="U253" s="30" t="str">
        <f>UPPER(Table5[[#This Row],[City]])</f>
        <v>BIRATNAGAR</v>
      </c>
      <c r="V253" s="30" t="str">
        <f>LOWER(Table5[[#This Row],[PaymentMethod]])</f>
        <v>ime pay</v>
      </c>
      <c r="W253" s="30" cm="1">
        <f t="array" ref="W253">_xlfn.XLOOKUP(TRIM(Table5[[#This Row],[ItemName]]), TRIM(Menu_Price_List_tbl[ItemName]),Menu_Price_List_tbl[UnitPrice_NPR])</f>
        <v>180</v>
      </c>
      <c r="X253" s="31">
        <f t="shared" si="11"/>
        <v>180</v>
      </c>
      <c r="Y253" s="30">
        <f>_xlfn.XLOOKUP(Table5[[#This Row],[City]],City_Delivery_Fee_tbl[City],City_Delivery_Fee_tbl[BaseDeliveryFee_NPR])</f>
        <v>90</v>
      </c>
      <c r="Z25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53" s="31">
        <f>Table5[[#This Row],[Order Amount]]+Table5[[#This Row],[Delivery Fee]]-Table5[[#This Row],[Discount Amount]]</f>
        <v>270</v>
      </c>
      <c r="AB253" s="30" t="str">
        <f>_xlfn.XLOOKUP(Table5[[#This Row],[RiderID]], Rider_Directory!$F$2:$F$26, Rider_Directory!$B$2:$B$26)</f>
        <v>Biratnagar</v>
      </c>
      <c r="AC253" s="30" t="str" cm="1">
        <f t="array" ref="AC253">_xlfn.IFS(Table5[[#This Row],[Final Amount]]&lt;500, "Small", Table5[[#This Row],[Final Amount]]&lt;=1000, "Medium", Table5[[#This Row],[Final Amount]]&gt;1000, "Large")</f>
        <v>Small</v>
      </c>
      <c r="AD253" s="30" t="str">
        <f>_xlfn.LET(_xlpm.expiry,_xlfn.XLOOKUP(Table5[[#This Row],[PromoCode]],Promo_Codes!$A$2:$A$9,Promo_Codes!$F$2:$F$9,DATE(2099,1,1)),IF(Table5[[#This Row],[OrderDate]]&gt;_xlpm.expiry,"Expired Code Used","Valid"))</f>
        <v>Valid</v>
      </c>
    </row>
    <row r="254" spans="1:30" x14ac:dyDescent="0.3">
      <c r="A254" s="28" t="s">
        <v>242</v>
      </c>
      <c r="B254" s="27">
        <v>46016</v>
      </c>
      <c r="C254" s="28" t="s">
        <v>243</v>
      </c>
      <c r="D254" s="28" t="s">
        <v>1175</v>
      </c>
      <c r="E254" s="27">
        <v>45814</v>
      </c>
      <c r="F254" s="27" t="str">
        <f t="shared" si="9"/>
        <v>Returning</v>
      </c>
      <c r="G254" s="28" t="s">
        <v>135</v>
      </c>
      <c r="H254" s="28" t="s">
        <v>245</v>
      </c>
      <c r="I254" s="28" t="s">
        <v>233</v>
      </c>
      <c r="J254" s="28" t="s">
        <v>246</v>
      </c>
      <c r="K254" s="29">
        <v>1</v>
      </c>
      <c r="L254" s="28" t="s">
        <v>187</v>
      </c>
      <c r="M254" s="28" t="s">
        <v>247</v>
      </c>
      <c r="N254" s="28"/>
      <c r="O254" s="28" t="s">
        <v>130</v>
      </c>
      <c r="P254" s="28" t="str">
        <f t="shared" si="10"/>
        <v/>
      </c>
      <c r="Q254" s="29">
        <v>4</v>
      </c>
      <c r="R254" s="29">
        <v>18</v>
      </c>
      <c r="S254" s="28"/>
      <c r="T254" s="30" t="str">
        <f>_xlfn.CONCAT(Table5[[#This Row],[OrderID]]," | ",Table5[[#This Row],[City]]," | ",Table5[[#This Row],[ItemName]])</f>
        <v>ORD-1250 | Kathmandu | Chicken Momo (Fried)</v>
      </c>
      <c r="U254" s="30" t="str">
        <f>UPPER(Table5[[#This Row],[City]])</f>
        <v>KATHMANDU</v>
      </c>
      <c r="V254" s="30" t="str">
        <f>LOWER(Table5[[#This Row],[PaymentMethod]])</f>
        <v>ime pay</v>
      </c>
      <c r="W254" s="30" cm="1">
        <f t="array" ref="W254">_xlfn.XLOOKUP(TRIM(Table5[[#This Row],[ItemName]]), TRIM(Menu_Price_List_tbl[ItemName]),Menu_Price_List_tbl[UnitPrice_NPR])</f>
        <v>210</v>
      </c>
      <c r="X254" s="31">
        <f t="shared" si="11"/>
        <v>210</v>
      </c>
      <c r="Y254" s="30">
        <f>_xlfn.XLOOKUP(Table5[[#This Row],[City]],City_Delivery_Fee_tbl[City],City_Delivery_Fee_tbl[BaseDeliveryFee_NPR])</f>
        <v>50</v>
      </c>
      <c r="Z25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54" s="31">
        <f>Table5[[#This Row],[Order Amount]]+Table5[[#This Row],[Delivery Fee]]-Table5[[#This Row],[Discount Amount]]</f>
        <v>260</v>
      </c>
      <c r="AB254" s="30" t="str">
        <f>_xlfn.XLOOKUP(Table5[[#This Row],[RiderID]], Rider_Directory!$F$2:$F$26, Rider_Directory!$B$2:$B$26)</f>
        <v>Kathmandu</v>
      </c>
      <c r="AC254" s="30" t="str" cm="1">
        <f t="array" ref="AC254">_xlfn.IFS(Table5[[#This Row],[Final Amount]]&lt;500, "Small", Table5[[#This Row],[Final Amount]]&lt;=1000, "Medium", Table5[[#This Row],[Final Amount]]&gt;1000, "Large")</f>
        <v>Small</v>
      </c>
      <c r="AD254" s="30" t="str">
        <f>_xlfn.LET(_xlpm.expiry,_xlfn.XLOOKUP(Table5[[#This Row],[PromoCode]],Promo_Codes!$A$2:$A$9,Promo_Codes!$F$2:$F$9,DATE(2099,1,1)),IF(Table5[[#This Row],[OrderDate]]&gt;_xlpm.expiry,"Expired Code Used","Valid"))</f>
        <v>Valid</v>
      </c>
    </row>
    <row r="255" spans="1:30" x14ac:dyDescent="0.3">
      <c r="A255" s="28" t="s">
        <v>984</v>
      </c>
      <c r="B255" s="27">
        <v>46016</v>
      </c>
      <c r="C255" s="28" t="s">
        <v>1146</v>
      </c>
      <c r="D255" s="28" t="s">
        <v>1264</v>
      </c>
      <c r="E255" s="27">
        <v>45722</v>
      </c>
      <c r="F255" s="27" t="str">
        <f t="shared" si="9"/>
        <v>Returning</v>
      </c>
      <c r="G255" s="28" t="s">
        <v>135</v>
      </c>
      <c r="H255" s="28" t="s">
        <v>339</v>
      </c>
      <c r="I255" s="28" t="s">
        <v>233</v>
      </c>
      <c r="J255" s="28" t="s">
        <v>985</v>
      </c>
      <c r="K255" s="29">
        <v>1</v>
      </c>
      <c r="L255" s="28" t="s">
        <v>265</v>
      </c>
      <c r="M255" s="28" t="s">
        <v>140</v>
      </c>
      <c r="N255" s="28"/>
      <c r="O255" s="28" t="s">
        <v>279</v>
      </c>
      <c r="P255" s="28" t="str">
        <f t="shared" si="10"/>
        <v/>
      </c>
      <c r="Q255" s="28"/>
      <c r="R255" s="29">
        <v>26</v>
      </c>
      <c r="S255" s="28" t="s">
        <v>280</v>
      </c>
      <c r="T255" s="30" t="str">
        <f>_xlfn.CONCAT(Table5[[#This Row],[OrderID]]," | ",Table5[[#This Row],[City]]," | ",Table5[[#This Row],[ItemName]])</f>
        <v xml:space="preserve">ORD-1251 | Kathmandu | Jhol Momo  </v>
      </c>
      <c r="U255" s="30" t="str">
        <f>UPPER(Table5[[#This Row],[City]])</f>
        <v>KATHMANDU</v>
      </c>
      <c r="V255" s="30" t="str">
        <f>LOWER(Table5[[#This Row],[PaymentMethod]])</f>
        <v>cash on delivery</v>
      </c>
      <c r="W255" s="30" cm="1">
        <f t="array" ref="W255">_xlfn.XLOOKUP(TRIM(Table5[[#This Row],[ItemName]]), TRIM(Menu_Price_List_tbl[ItemName]),Menu_Price_List_tbl[UnitPrice_NPR])</f>
        <v>200</v>
      </c>
      <c r="X255" s="31">
        <f t="shared" si="11"/>
        <v>200</v>
      </c>
      <c r="Y255" s="30">
        <f>_xlfn.XLOOKUP(Table5[[#This Row],[City]],City_Delivery_Fee_tbl[City],City_Delivery_Fee_tbl[BaseDeliveryFee_NPR])</f>
        <v>50</v>
      </c>
      <c r="Z25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55" s="31">
        <f>Table5[[#This Row],[Order Amount]]+Table5[[#This Row],[Delivery Fee]]-Table5[[#This Row],[Discount Amount]]</f>
        <v>250</v>
      </c>
      <c r="AB255" s="30" t="str">
        <f>_xlfn.XLOOKUP(Table5[[#This Row],[RiderID]], Rider_Directory!$F$2:$F$26, Rider_Directory!$B$2:$B$26)</f>
        <v>Kathmandu</v>
      </c>
      <c r="AC255" s="30" t="str" cm="1">
        <f t="array" ref="AC255">_xlfn.IFS(Table5[[#This Row],[Final Amount]]&lt;500, "Small", Table5[[#This Row],[Final Amount]]&lt;=1000, "Medium", Table5[[#This Row],[Final Amount]]&gt;1000, "Large")</f>
        <v>Small</v>
      </c>
      <c r="AD255" s="30" t="str">
        <f>_xlfn.LET(_xlpm.expiry,_xlfn.XLOOKUP(Table5[[#This Row],[PromoCode]],Promo_Codes!$A$2:$A$9,Promo_Codes!$F$2:$F$9,DATE(2099,1,1)),IF(Table5[[#This Row],[OrderDate]]&gt;_xlpm.expiry,"Expired Code Used","Valid"))</f>
        <v>Valid</v>
      </c>
    </row>
    <row r="256" spans="1:30" x14ac:dyDescent="0.3">
      <c r="A256" s="28" t="s">
        <v>314</v>
      </c>
      <c r="B256" s="27">
        <v>46017</v>
      </c>
      <c r="C256" s="28" t="s">
        <v>1122</v>
      </c>
      <c r="D256" s="28" t="s">
        <v>1187</v>
      </c>
      <c r="E256" s="27">
        <v>46000</v>
      </c>
      <c r="F256" s="27" t="str">
        <f t="shared" si="9"/>
        <v>Returning</v>
      </c>
      <c r="G256" s="28" t="s">
        <v>123</v>
      </c>
      <c r="H256" s="28" t="s">
        <v>155</v>
      </c>
      <c r="I256" s="28" t="s">
        <v>156</v>
      </c>
      <c r="J256" s="28" t="s">
        <v>317</v>
      </c>
      <c r="K256" s="29">
        <v>2</v>
      </c>
      <c r="L256" s="28" t="s">
        <v>166</v>
      </c>
      <c r="M256" s="28" t="s">
        <v>128</v>
      </c>
      <c r="N256" s="28" t="s">
        <v>240</v>
      </c>
      <c r="O256" s="28" t="s">
        <v>130</v>
      </c>
      <c r="P256" s="28" t="str">
        <f t="shared" si="10"/>
        <v/>
      </c>
      <c r="Q256" s="29">
        <v>3</v>
      </c>
      <c r="R256" s="29">
        <v>36</v>
      </c>
      <c r="S256" s="28"/>
      <c r="T256" s="30" t="str">
        <f>_xlfn.CONCAT(Table5[[#This Row],[OrderID]]," | ",Table5[[#This Row],[City]]," | ",Table5[[#This Row],[ItemName]])</f>
        <v>ORD-1252 | Biratnagar | Chicken Fried Rice</v>
      </c>
      <c r="U256" s="30" t="str">
        <f>UPPER(Table5[[#This Row],[City]])</f>
        <v>BIRATNAGAR</v>
      </c>
      <c r="V256" s="30" t="str">
        <f>LOWER(Table5[[#This Row],[PaymentMethod]])</f>
        <v>esewa</v>
      </c>
      <c r="W256" s="30" cm="1">
        <f t="array" ref="W256">_xlfn.XLOOKUP(TRIM(Table5[[#This Row],[ItemName]]), TRIM(Menu_Price_List_tbl[ItemName]),Menu_Price_List_tbl[UnitPrice_NPR])</f>
        <v>260</v>
      </c>
      <c r="X256" s="31">
        <f t="shared" si="11"/>
        <v>520</v>
      </c>
      <c r="Y256" s="30">
        <f>_xlfn.XLOOKUP(Table5[[#This Row],[City]],City_Delivery_Fee_tbl[City],City_Delivery_Fee_tbl[BaseDeliveryFee_NPR])</f>
        <v>90</v>
      </c>
      <c r="Z25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104</v>
      </c>
      <c r="AA256" s="31">
        <f>Table5[[#This Row],[Order Amount]]+Table5[[#This Row],[Delivery Fee]]-Table5[[#This Row],[Discount Amount]]</f>
        <v>506</v>
      </c>
      <c r="AB256" s="30" t="str">
        <f>_xlfn.XLOOKUP(Table5[[#This Row],[RiderID]], Rider_Directory!$F$2:$F$26, Rider_Directory!$B$2:$B$26)</f>
        <v>Biratnagar</v>
      </c>
      <c r="AC256" s="30" t="str" cm="1">
        <f t="array" ref="AC256">_xlfn.IFS(Table5[[#This Row],[Final Amount]]&lt;500, "Small", Table5[[#This Row],[Final Amount]]&lt;=1000, "Medium", Table5[[#This Row],[Final Amount]]&gt;1000, "Large")</f>
        <v>Medium</v>
      </c>
      <c r="AD256" s="30" t="str">
        <f>_xlfn.LET(_xlpm.expiry,_xlfn.XLOOKUP(Table5[[#This Row],[PromoCode]],Promo_Codes!$A$2:$A$9,Promo_Codes!$F$2:$F$9,DATE(2099,1,1)),IF(Table5[[#This Row],[OrderDate]]&gt;_xlpm.expiry,"Expired Code Used","Valid"))</f>
        <v>Valid</v>
      </c>
    </row>
    <row r="257" spans="1:30" x14ac:dyDescent="0.3">
      <c r="A257" s="28" t="s">
        <v>879</v>
      </c>
      <c r="B257" s="27">
        <v>46017</v>
      </c>
      <c r="C257" s="28" t="s">
        <v>764</v>
      </c>
      <c r="D257" s="28" t="s">
        <v>1271</v>
      </c>
      <c r="E257" s="27">
        <v>45835</v>
      </c>
      <c r="F257" s="27" t="str">
        <f t="shared" si="9"/>
        <v>Returning</v>
      </c>
      <c r="G257" s="28" t="s">
        <v>135</v>
      </c>
      <c r="H257" s="28" t="s">
        <v>216</v>
      </c>
      <c r="I257" s="28" t="s">
        <v>125</v>
      </c>
      <c r="J257" s="28" t="s">
        <v>382</v>
      </c>
      <c r="K257" s="29">
        <v>2</v>
      </c>
      <c r="L257" s="28" t="s">
        <v>223</v>
      </c>
      <c r="M257" s="28" t="s">
        <v>159</v>
      </c>
      <c r="N257" s="28" t="s">
        <v>255</v>
      </c>
      <c r="O257" s="28" t="s">
        <v>130</v>
      </c>
      <c r="P257" s="28" t="str">
        <f t="shared" si="10"/>
        <v/>
      </c>
      <c r="Q257" s="29">
        <v>4</v>
      </c>
      <c r="R257" s="29">
        <v>20</v>
      </c>
      <c r="S257" s="28"/>
      <c r="T257" s="30" t="str">
        <f>_xlfn.CONCAT(Table5[[#This Row],[OrderID]]," | ",Table5[[#This Row],[City]]," | ",Table5[[#This Row],[ItemName]])</f>
        <v>ORD-1253 | Kathmandu | Yomari</v>
      </c>
      <c r="U257" s="30" t="str">
        <f>UPPER(Table5[[#This Row],[City]])</f>
        <v>KATHMANDU</v>
      </c>
      <c r="V257" s="30" t="str">
        <f>LOWER(Table5[[#This Row],[PaymentMethod]])</f>
        <v>khalti</v>
      </c>
      <c r="W257" s="30" cm="1">
        <f t="array" ref="W257">_xlfn.XLOOKUP(TRIM(Table5[[#This Row],[ItemName]]), TRIM(Menu_Price_List_tbl[ItemName]),Menu_Price_List_tbl[UnitPrice_NPR])</f>
        <v>180</v>
      </c>
      <c r="X257" s="31">
        <f t="shared" si="11"/>
        <v>360</v>
      </c>
      <c r="Y257" s="30">
        <f>_xlfn.XLOOKUP(Table5[[#This Row],[City]],City_Delivery_Fee_tbl[City],City_Delivery_Fee_tbl[BaseDeliveryFee_NPR])</f>
        <v>50</v>
      </c>
      <c r="Z25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36</v>
      </c>
      <c r="AA257" s="31">
        <f>Table5[[#This Row],[Order Amount]]+Table5[[#This Row],[Delivery Fee]]-Table5[[#This Row],[Discount Amount]]</f>
        <v>374</v>
      </c>
      <c r="AB257" s="30" t="str">
        <f>_xlfn.XLOOKUP(Table5[[#This Row],[RiderID]], Rider_Directory!$F$2:$F$26, Rider_Directory!$B$2:$B$26)</f>
        <v>Kathmandu</v>
      </c>
      <c r="AC257" s="30" t="str" cm="1">
        <f t="array" ref="AC257">_xlfn.IFS(Table5[[#This Row],[Final Amount]]&lt;500, "Small", Table5[[#This Row],[Final Amount]]&lt;=1000, "Medium", Table5[[#This Row],[Final Amount]]&gt;1000, "Large")</f>
        <v>Small</v>
      </c>
      <c r="AD257" s="30" t="str">
        <f>_xlfn.LET(_xlpm.expiry,_xlfn.XLOOKUP(Table5[[#This Row],[PromoCode]],Promo_Codes!$A$2:$A$9,Promo_Codes!$F$2:$F$9,DATE(2099,1,1)),IF(Table5[[#This Row],[OrderDate]]&gt;_xlpm.expiry,"Expired Code Used","Valid"))</f>
        <v>Valid</v>
      </c>
    </row>
    <row r="258" spans="1:30" x14ac:dyDescent="0.3">
      <c r="A258" s="28" t="s">
        <v>1033</v>
      </c>
      <c r="B258" s="27">
        <v>46017</v>
      </c>
      <c r="C258" s="28" t="s">
        <v>325</v>
      </c>
      <c r="D258" s="28" t="s">
        <v>1189</v>
      </c>
      <c r="E258" s="27">
        <v>45881</v>
      </c>
      <c r="F258" s="27" t="str">
        <f t="shared" ref="F258:F321" si="12">IF(B258-E258&lt;=2,"New","Returning")</f>
        <v>Returning</v>
      </c>
      <c r="G258" s="28" t="s">
        <v>259</v>
      </c>
      <c r="H258" s="28" t="s">
        <v>350</v>
      </c>
      <c r="I258" s="28" t="s">
        <v>351</v>
      </c>
      <c r="J258" s="28" t="s">
        <v>638</v>
      </c>
      <c r="K258" s="29">
        <v>1</v>
      </c>
      <c r="L258" s="28" t="s">
        <v>260</v>
      </c>
      <c r="M258" s="28" t="s">
        <v>128</v>
      </c>
      <c r="N258" s="28" t="s">
        <v>518</v>
      </c>
      <c r="O258" s="28" t="s">
        <v>130</v>
      </c>
      <c r="P258" s="28" t="str">
        <f t="shared" ref="P258:P321" si="13">IF(O258=""," NEED REVIEW","")</f>
        <v/>
      </c>
      <c r="Q258" s="29">
        <v>2</v>
      </c>
      <c r="R258" s="29">
        <v>67</v>
      </c>
      <c r="S258" s="28"/>
      <c r="T258" s="30" t="str">
        <f>_xlfn.CONCAT(Table5[[#This Row],[OrderID]]," | ",Table5[[#This Row],[City]]," | ",Table5[[#This Row],[ItemName]])</f>
        <v>ORD-1254 | Dharan | Chicken Sekuwa</v>
      </c>
      <c r="U258" s="30" t="str">
        <f>UPPER(Table5[[#This Row],[City]])</f>
        <v>DHARAN</v>
      </c>
      <c r="V258" s="30" t="str">
        <f>LOWER(Table5[[#This Row],[PaymentMethod]])</f>
        <v>esewa</v>
      </c>
      <c r="W258" s="30" cm="1">
        <f t="array" ref="W258">_xlfn.XLOOKUP(TRIM(Table5[[#This Row],[ItemName]]), TRIM(Menu_Price_List_tbl[ItemName]),Menu_Price_List_tbl[UnitPrice_NPR])</f>
        <v>420</v>
      </c>
      <c r="X258" s="31">
        <f t="shared" ref="X258:X321" si="14">W258*K258</f>
        <v>420</v>
      </c>
      <c r="Y258" s="30">
        <f>_xlfn.XLOOKUP(Table5[[#This Row],[City]],City_Delivery_Fee_tbl[City],City_Delivery_Fee_tbl[BaseDeliveryFee_NPR])</f>
        <v>95</v>
      </c>
      <c r="Z25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258" s="31">
        <f>Table5[[#This Row],[Order Amount]]+Table5[[#This Row],[Delivery Fee]]-Table5[[#This Row],[Discount Amount]]</f>
        <v>415</v>
      </c>
      <c r="AB258" s="30" t="str">
        <f>_xlfn.XLOOKUP(Table5[[#This Row],[RiderID]], Rider_Directory!$F$2:$F$26, Rider_Directory!$B$2:$B$26)</f>
        <v>Dharan</v>
      </c>
      <c r="AC258" s="30" t="str" cm="1">
        <f t="array" ref="AC258">_xlfn.IFS(Table5[[#This Row],[Final Amount]]&lt;500, "Small", Table5[[#This Row],[Final Amount]]&lt;=1000, "Medium", Table5[[#This Row],[Final Amount]]&gt;1000, "Large")</f>
        <v>Small</v>
      </c>
      <c r="AD258" s="30" t="str">
        <f>_xlfn.LET(_xlpm.expiry,_xlfn.XLOOKUP(Table5[[#This Row],[PromoCode]],Promo_Codes!$A$2:$A$9,Promo_Codes!$F$2:$F$9,DATE(2099,1,1)),IF(Table5[[#This Row],[OrderDate]]&gt;_xlpm.expiry,"Expired Code Used","Valid"))</f>
        <v>Valid</v>
      </c>
    </row>
    <row r="259" spans="1:30" x14ac:dyDescent="0.3">
      <c r="A259" s="28" t="s">
        <v>928</v>
      </c>
      <c r="B259" s="27">
        <v>46018</v>
      </c>
      <c r="C259" s="28" t="s">
        <v>626</v>
      </c>
      <c r="D259" s="28" t="s">
        <v>1181</v>
      </c>
      <c r="E259" s="27">
        <v>45873</v>
      </c>
      <c r="F259" s="27" t="str">
        <f t="shared" si="12"/>
        <v>Returning</v>
      </c>
      <c r="G259" s="28" t="s">
        <v>123</v>
      </c>
      <c r="H259" s="28" t="s">
        <v>178</v>
      </c>
      <c r="I259" s="28" t="s">
        <v>179</v>
      </c>
      <c r="J259" s="28" t="s">
        <v>421</v>
      </c>
      <c r="K259" s="29">
        <v>1</v>
      </c>
      <c r="L259" s="28" t="s">
        <v>166</v>
      </c>
      <c r="M259" s="28" t="s">
        <v>140</v>
      </c>
      <c r="N259" s="28"/>
      <c r="O259" s="28" t="s">
        <v>130</v>
      </c>
      <c r="P259" s="28" t="str">
        <f t="shared" si="13"/>
        <v/>
      </c>
      <c r="Q259" s="29">
        <v>4</v>
      </c>
      <c r="R259" s="29">
        <v>44</v>
      </c>
      <c r="S259" s="28" t="s">
        <v>302</v>
      </c>
      <c r="T259" s="30" t="str">
        <f>_xlfn.CONCAT(Table5[[#This Row],[OrderID]]," | ",Table5[[#This Row],[City]]," | ",Table5[[#This Row],[ItemName]])</f>
        <v>ORD-1255 | Biratnagar | Chicken Burger</v>
      </c>
      <c r="U259" s="30" t="str">
        <f>UPPER(Table5[[#This Row],[City]])</f>
        <v>BIRATNAGAR</v>
      </c>
      <c r="V259" s="30" t="str">
        <f>LOWER(Table5[[#This Row],[PaymentMethod]])</f>
        <v>cash on delivery</v>
      </c>
      <c r="W259" s="30" cm="1">
        <f t="array" ref="W259">_xlfn.XLOOKUP(TRIM(Table5[[#This Row],[ItemName]]), TRIM(Menu_Price_List_tbl[ItemName]),Menu_Price_List_tbl[UnitPrice_NPR])</f>
        <v>280</v>
      </c>
      <c r="X259" s="31">
        <f t="shared" si="14"/>
        <v>280</v>
      </c>
      <c r="Y259" s="30">
        <f>_xlfn.XLOOKUP(Table5[[#This Row],[City]],City_Delivery_Fee_tbl[City],City_Delivery_Fee_tbl[BaseDeliveryFee_NPR])</f>
        <v>90</v>
      </c>
      <c r="Z25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59" s="31">
        <f>Table5[[#This Row],[Order Amount]]+Table5[[#This Row],[Delivery Fee]]-Table5[[#This Row],[Discount Amount]]</f>
        <v>370</v>
      </c>
      <c r="AB259" s="30" t="str">
        <f>_xlfn.XLOOKUP(Table5[[#This Row],[RiderID]], Rider_Directory!$F$2:$F$26, Rider_Directory!$B$2:$B$26)</f>
        <v>Biratnagar</v>
      </c>
      <c r="AC259" s="30" t="str" cm="1">
        <f t="array" ref="AC259">_xlfn.IFS(Table5[[#This Row],[Final Amount]]&lt;500, "Small", Table5[[#This Row],[Final Amount]]&lt;=1000, "Medium", Table5[[#This Row],[Final Amount]]&gt;1000, "Large")</f>
        <v>Small</v>
      </c>
      <c r="AD259" s="30" t="str">
        <f>_xlfn.LET(_xlpm.expiry,_xlfn.XLOOKUP(Table5[[#This Row],[PromoCode]],Promo_Codes!$A$2:$A$9,Promo_Codes!$F$2:$F$9,DATE(2099,1,1)),IF(Table5[[#This Row],[OrderDate]]&gt;_xlpm.expiry,"Expired Code Used","Valid"))</f>
        <v>Valid</v>
      </c>
    </row>
    <row r="260" spans="1:30" x14ac:dyDescent="0.3">
      <c r="A260" s="28" t="s">
        <v>782</v>
      </c>
      <c r="B260" s="27">
        <v>46019</v>
      </c>
      <c r="C260" s="28" t="s">
        <v>168</v>
      </c>
      <c r="D260" s="28" t="s">
        <v>1164</v>
      </c>
      <c r="E260" s="27">
        <v>45963</v>
      </c>
      <c r="F260" s="27" t="str">
        <f t="shared" si="12"/>
        <v>Returning</v>
      </c>
      <c r="G260" s="28" t="s">
        <v>170</v>
      </c>
      <c r="H260" s="28" t="s">
        <v>339</v>
      </c>
      <c r="I260" s="28" t="s">
        <v>233</v>
      </c>
      <c r="J260" s="28" t="s">
        <v>784</v>
      </c>
      <c r="K260" s="29">
        <v>1</v>
      </c>
      <c r="L260" s="28" t="s">
        <v>173</v>
      </c>
      <c r="M260" s="28" t="s">
        <v>128</v>
      </c>
      <c r="N260" s="28"/>
      <c r="O260" s="28" t="s">
        <v>130</v>
      </c>
      <c r="P260" s="28" t="str">
        <f t="shared" si="13"/>
        <v/>
      </c>
      <c r="Q260" s="29">
        <v>3</v>
      </c>
      <c r="R260" s="29">
        <v>36</v>
      </c>
      <c r="S260" s="28" t="s">
        <v>194</v>
      </c>
      <c r="T260" s="30" t="str">
        <f>_xlfn.CONCAT(Table5[[#This Row],[OrderID]]," | ",Table5[[#This Row],[City]]," | ",Table5[[#This Row],[ItemName]])</f>
        <v>ORD-1256 | Butwal | BUFF MOMO (STEAMED)</v>
      </c>
      <c r="U260" s="30" t="str">
        <f>UPPER(Table5[[#This Row],[City]])</f>
        <v>BUTWAL</v>
      </c>
      <c r="V260" s="30" t="str">
        <f>LOWER(Table5[[#This Row],[PaymentMethod]])</f>
        <v>esewa</v>
      </c>
      <c r="W260" s="30" cm="1">
        <f t="array" ref="W260">_xlfn.XLOOKUP(TRIM(Table5[[#This Row],[ItemName]]), TRIM(Menu_Price_List_tbl[ItemName]),Menu_Price_List_tbl[UnitPrice_NPR])</f>
        <v>170</v>
      </c>
      <c r="X260" s="31">
        <f t="shared" si="14"/>
        <v>170</v>
      </c>
      <c r="Y260" s="30">
        <f>_xlfn.XLOOKUP(Table5[[#This Row],[City]],City_Delivery_Fee_tbl[City],City_Delivery_Fee_tbl[BaseDeliveryFee_NPR])</f>
        <v>85</v>
      </c>
      <c r="Z26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60" s="31">
        <f>Table5[[#This Row],[Order Amount]]+Table5[[#This Row],[Delivery Fee]]-Table5[[#This Row],[Discount Amount]]</f>
        <v>255</v>
      </c>
      <c r="AB260" s="30" t="str">
        <f>_xlfn.XLOOKUP(Table5[[#This Row],[RiderID]], Rider_Directory!$F$2:$F$26, Rider_Directory!$B$2:$B$26)</f>
        <v>Butwal</v>
      </c>
      <c r="AC260" s="30" t="str" cm="1">
        <f t="array" ref="AC260">_xlfn.IFS(Table5[[#This Row],[Final Amount]]&lt;500, "Small", Table5[[#This Row],[Final Amount]]&lt;=1000, "Medium", Table5[[#This Row],[Final Amount]]&gt;1000, "Large")</f>
        <v>Small</v>
      </c>
      <c r="AD260" s="30" t="str">
        <f>_xlfn.LET(_xlpm.expiry,_xlfn.XLOOKUP(Table5[[#This Row],[PromoCode]],Promo_Codes!$A$2:$A$9,Promo_Codes!$F$2:$F$9,DATE(2099,1,1)),IF(Table5[[#This Row],[OrderDate]]&gt;_xlpm.expiry,"Expired Code Used","Valid"))</f>
        <v>Valid</v>
      </c>
    </row>
    <row r="261" spans="1:30" x14ac:dyDescent="0.3">
      <c r="A261" s="28" t="s">
        <v>802</v>
      </c>
      <c r="B261" s="27">
        <v>46020</v>
      </c>
      <c r="C261" s="28" t="s">
        <v>803</v>
      </c>
      <c r="D261" s="28" t="s">
        <v>1186</v>
      </c>
      <c r="E261" s="27">
        <v>45957</v>
      </c>
      <c r="F261" s="27" t="str">
        <f t="shared" si="12"/>
        <v>Returning</v>
      </c>
      <c r="G261" s="28" t="s">
        <v>135</v>
      </c>
      <c r="H261" s="28" t="s">
        <v>232</v>
      </c>
      <c r="I261" s="28" t="s">
        <v>233</v>
      </c>
      <c r="J261" s="28" t="s">
        <v>301</v>
      </c>
      <c r="K261" s="29">
        <v>1</v>
      </c>
      <c r="L261" s="28" t="s">
        <v>223</v>
      </c>
      <c r="M261" s="28" t="s">
        <v>128</v>
      </c>
      <c r="N261" s="28"/>
      <c r="O261" s="28" t="s">
        <v>235</v>
      </c>
      <c r="P261" s="28" t="str">
        <f t="shared" si="13"/>
        <v/>
      </c>
      <c r="Q261" s="28"/>
      <c r="R261" s="29">
        <v>24</v>
      </c>
      <c r="S261" s="28"/>
      <c r="T261" s="30" t="str">
        <f>_xlfn.CONCAT(Table5[[#This Row],[OrderID]]," | ",Table5[[#This Row],[City]]," | ",Table5[[#This Row],[ItemName]])</f>
        <v>ORD-1257 | Kathmandu | Veg Momo (Steamed)</v>
      </c>
      <c r="U261" s="30" t="str">
        <f>UPPER(Table5[[#This Row],[City]])</f>
        <v>KATHMANDU</v>
      </c>
      <c r="V261" s="30" t="str">
        <f>LOWER(Table5[[#This Row],[PaymentMethod]])</f>
        <v>esewa</v>
      </c>
      <c r="W261" s="30" cm="1">
        <f t="array" ref="W261">_xlfn.XLOOKUP(TRIM(Table5[[#This Row],[ItemName]]), TRIM(Menu_Price_List_tbl[ItemName]),Menu_Price_List_tbl[UnitPrice_NPR])</f>
        <v>150</v>
      </c>
      <c r="X261" s="31">
        <f t="shared" si="14"/>
        <v>150</v>
      </c>
      <c r="Y261" s="30">
        <f>_xlfn.XLOOKUP(Table5[[#This Row],[City]],City_Delivery_Fee_tbl[City],City_Delivery_Fee_tbl[BaseDeliveryFee_NPR])</f>
        <v>50</v>
      </c>
      <c r="Z26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61" s="31">
        <f>Table5[[#This Row],[Order Amount]]+Table5[[#This Row],[Delivery Fee]]-Table5[[#This Row],[Discount Amount]]</f>
        <v>200</v>
      </c>
      <c r="AB261" s="30" t="str">
        <f>_xlfn.XLOOKUP(Table5[[#This Row],[RiderID]], Rider_Directory!$F$2:$F$26, Rider_Directory!$B$2:$B$26)</f>
        <v>Kathmandu</v>
      </c>
      <c r="AC261" s="30" t="str" cm="1">
        <f t="array" ref="AC261">_xlfn.IFS(Table5[[#This Row],[Final Amount]]&lt;500, "Small", Table5[[#This Row],[Final Amount]]&lt;=1000, "Medium", Table5[[#This Row],[Final Amount]]&gt;1000, "Large")</f>
        <v>Small</v>
      </c>
      <c r="AD261" s="30" t="str">
        <f>_xlfn.LET(_xlpm.expiry,_xlfn.XLOOKUP(Table5[[#This Row],[PromoCode]],Promo_Codes!$A$2:$A$9,Promo_Codes!$F$2:$F$9,DATE(2099,1,1)),IF(Table5[[#This Row],[OrderDate]]&gt;_xlpm.expiry,"Expired Code Used","Valid"))</f>
        <v>Valid</v>
      </c>
    </row>
    <row r="262" spans="1:30" x14ac:dyDescent="0.3">
      <c r="A262" s="28" t="s">
        <v>229</v>
      </c>
      <c r="B262" s="27">
        <v>46020</v>
      </c>
      <c r="C262" s="28" t="s">
        <v>1138</v>
      </c>
      <c r="D262" s="28" t="s">
        <v>1173</v>
      </c>
      <c r="E262" s="27">
        <v>45969</v>
      </c>
      <c r="F262" s="27" t="str">
        <f t="shared" si="12"/>
        <v>Returning</v>
      </c>
      <c r="G262" s="28" t="s">
        <v>177</v>
      </c>
      <c r="H262" s="28" t="s">
        <v>232</v>
      </c>
      <c r="I262" s="28" t="s">
        <v>233</v>
      </c>
      <c r="J262" s="28" t="s">
        <v>234</v>
      </c>
      <c r="K262" s="29">
        <v>1</v>
      </c>
      <c r="L262" s="28" t="s">
        <v>181</v>
      </c>
      <c r="M262" s="28" t="s">
        <v>128</v>
      </c>
      <c r="N262" s="28" t="s">
        <v>129</v>
      </c>
      <c r="O262" s="28" t="s">
        <v>235</v>
      </c>
      <c r="P262" s="28" t="str">
        <f t="shared" si="13"/>
        <v/>
      </c>
      <c r="Q262" s="28"/>
      <c r="R262" s="29">
        <v>26</v>
      </c>
      <c r="S262" s="28"/>
      <c r="T262" s="30" t="str">
        <f>_xlfn.CONCAT(Table5[[#This Row],[OrderID]]," | ",Table5[[#This Row],[City]]," | ",Table5[[#This Row],[ItemName]])</f>
        <v>ORD-1258 | Bhaktapur | Buff Momo (Steamed)</v>
      </c>
      <c r="U262" s="30" t="str">
        <f>UPPER(Table5[[#This Row],[City]])</f>
        <v>BHAKTAPUR</v>
      </c>
      <c r="V262" s="30" t="str">
        <f>LOWER(Table5[[#This Row],[PaymentMethod]])</f>
        <v>esewa</v>
      </c>
      <c r="W262" s="30" cm="1">
        <f t="array" ref="W262">_xlfn.XLOOKUP(TRIM(Table5[[#This Row],[ItemName]]), TRIM(Menu_Price_List_tbl[ItemName]),Menu_Price_List_tbl[UnitPrice_NPR])</f>
        <v>170</v>
      </c>
      <c r="X262" s="31">
        <f t="shared" si="14"/>
        <v>170</v>
      </c>
      <c r="Y262" s="30">
        <f>_xlfn.XLOOKUP(Table5[[#This Row],[City]],City_Delivery_Fee_tbl[City],City_Delivery_Fee_tbl[BaseDeliveryFee_NPR])</f>
        <v>55</v>
      </c>
      <c r="Z26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262" s="31">
        <f>Table5[[#This Row],[Order Amount]]+Table5[[#This Row],[Delivery Fee]]-Table5[[#This Row],[Discount Amount]]</f>
        <v>125</v>
      </c>
      <c r="AB262" s="30" t="str">
        <f>_xlfn.XLOOKUP(Table5[[#This Row],[RiderID]], Rider_Directory!$F$2:$F$26, Rider_Directory!$B$2:$B$26)</f>
        <v>Bhaktapur</v>
      </c>
      <c r="AC262" s="30" t="str" cm="1">
        <f t="array" ref="AC262">_xlfn.IFS(Table5[[#This Row],[Final Amount]]&lt;500, "Small", Table5[[#This Row],[Final Amount]]&lt;=1000, "Medium", Table5[[#This Row],[Final Amount]]&gt;1000, "Large")</f>
        <v>Small</v>
      </c>
      <c r="AD262" s="30" t="str">
        <f>_xlfn.LET(_xlpm.expiry,_xlfn.XLOOKUP(Table5[[#This Row],[PromoCode]],Promo_Codes!$A$2:$A$9,Promo_Codes!$F$2:$F$9,DATE(2099,1,1)),IF(Table5[[#This Row],[OrderDate]]&gt;_xlpm.expiry,"Expired Code Used","Valid"))</f>
        <v>Expired Code Used</v>
      </c>
    </row>
    <row r="263" spans="1:30" x14ac:dyDescent="0.3">
      <c r="A263" s="28" t="s">
        <v>252</v>
      </c>
      <c r="B263" s="27">
        <v>46021</v>
      </c>
      <c r="C263" s="28" t="s">
        <v>253</v>
      </c>
      <c r="D263" s="28" t="s">
        <v>1177</v>
      </c>
      <c r="E263" s="27">
        <v>45885</v>
      </c>
      <c r="F263" s="27" t="str">
        <f t="shared" si="12"/>
        <v>Returning</v>
      </c>
      <c r="G263" s="28" t="s">
        <v>135</v>
      </c>
      <c r="H263" s="28" t="s">
        <v>216</v>
      </c>
      <c r="I263" s="28" t="s">
        <v>125</v>
      </c>
      <c r="J263" s="28" t="s">
        <v>126</v>
      </c>
      <c r="K263" s="29">
        <v>2</v>
      </c>
      <c r="L263" s="28" t="s">
        <v>139</v>
      </c>
      <c r="M263" s="28" t="s">
        <v>247</v>
      </c>
      <c r="N263" s="28" t="s">
        <v>255</v>
      </c>
      <c r="O263" s="28" t="s">
        <v>130</v>
      </c>
      <c r="P263" s="28" t="str">
        <f t="shared" si="13"/>
        <v/>
      </c>
      <c r="Q263" s="29">
        <v>4</v>
      </c>
      <c r="R263" s="29">
        <v>33</v>
      </c>
      <c r="S263" s="28"/>
      <c r="T263" s="30" t="str">
        <f>_xlfn.CONCAT(Table5[[#This Row],[OrderID]]," | ",Table5[[#This Row],[City]]," | ",Table5[[#This Row],[ItemName]])</f>
        <v>ORD-1259 | Kathmandu | Bara</v>
      </c>
      <c r="U263" s="30" t="str">
        <f>UPPER(Table5[[#This Row],[City]])</f>
        <v>KATHMANDU</v>
      </c>
      <c r="V263" s="30" t="str">
        <f>LOWER(Table5[[#This Row],[PaymentMethod]])</f>
        <v>ime pay</v>
      </c>
      <c r="W263" s="30" cm="1">
        <f t="array" ref="W263">_xlfn.XLOOKUP(TRIM(Table5[[#This Row],[ItemName]]), TRIM(Menu_Price_List_tbl[ItemName]),Menu_Price_List_tbl[UnitPrice_NPR])</f>
        <v>160</v>
      </c>
      <c r="X263" s="31">
        <f t="shared" si="14"/>
        <v>320</v>
      </c>
      <c r="Y263" s="30">
        <f>_xlfn.XLOOKUP(Table5[[#This Row],[City]],City_Delivery_Fee_tbl[City],City_Delivery_Fee_tbl[BaseDeliveryFee_NPR])</f>
        <v>50</v>
      </c>
      <c r="Z26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32</v>
      </c>
      <c r="AA263" s="31">
        <f>Table5[[#This Row],[Order Amount]]+Table5[[#This Row],[Delivery Fee]]-Table5[[#This Row],[Discount Amount]]</f>
        <v>338</v>
      </c>
      <c r="AB263" s="30" t="str">
        <f>_xlfn.XLOOKUP(Table5[[#This Row],[RiderID]], Rider_Directory!$F$2:$F$26, Rider_Directory!$B$2:$B$26)</f>
        <v>Kathmandu</v>
      </c>
      <c r="AC263" s="30" t="str" cm="1">
        <f t="array" ref="AC263">_xlfn.IFS(Table5[[#This Row],[Final Amount]]&lt;500, "Small", Table5[[#This Row],[Final Amount]]&lt;=1000, "Medium", Table5[[#This Row],[Final Amount]]&gt;1000, "Large")</f>
        <v>Small</v>
      </c>
      <c r="AD263" s="30" t="str">
        <f>_xlfn.LET(_xlpm.expiry,_xlfn.XLOOKUP(Table5[[#This Row],[PromoCode]],Promo_Codes!$A$2:$A$9,Promo_Codes!$F$2:$F$9,DATE(2099,1,1)),IF(Table5[[#This Row],[OrderDate]]&gt;_xlpm.expiry,"Expired Code Used","Valid"))</f>
        <v>Valid</v>
      </c>
    </row>
    <row r="264" spans="1:30" x14ac:dyDescent="0.3">
      <c r="A264" s="28" t="s">
        <v>443</v>
      </c>
      <c r="B264" s="27">
        <v>46022</v>
      </c>
      <c r="C264" s="28" t="s">
        <v>444</v>
      </c>
      <c r="D264" s="28" t="s">
        <v>1213</v>
      </c>
      <c r="E264" s="27">
        <v>45947</v>
      </c>
      <c r="F264" s="27" t="str">
        <f t="shared" si="12"/>
        <v>Returning</v>
      </c>
      <c r="G264" s="28" t="s">
        <v>259</v>
      </c>
      <c r="H264" s="28" t="s">
        <v>288</v>
      </c>
      <c r="I264" s="28" t="s">
        <v>156</v>
      </c>
      <c r="J264" s="28" t="s">
        <v>157</v>
      </c>
      <c r="K264" s="29">
        <v>4</v>
      </c>
      <c r="L264" s="28" t="s">
        <v>260</v>
      </c>
      <c r="M264" s="28" t="s">
        <v>128</v>
      </c>
      <c r="N264" s="28"/>
      <c r="O264" s="28" t="s">
        <v>279</v>
      </c>
      <c r="P264" s="28" t="str">
        <f t="shared" si="13"/>
        <v/>
      </c>
      <c r="Q264" s="28"/>
      <c r="R264" s="29">
        <v>2</v>
      </c>
      <c r="S264" s="28" t="s">
        <v>280</v>
      </c>
      <c r="T264" s="30" t="str">
        <f>_xlfn.CONCAT(Table5[[#This Row],[OrderID]]," | ",Table5[[#This Row],[City]]," | ",Table5[[#This Row],[ItemName]])</f>
        <v>ORD-1260 | Dharan | Chicken Manchurian</v>
      </c>
      <c r="U264" s="30" t="str">
        <f>UPPER(Table5[[#This Row],[City]])</f>
        <v>DHARAN</v>
      </c>
      <c r="V264" s="30" t="str">
        <f>LOWER(Table5[[#This Row],[PaymentMethod]])</f>
        <v>esewa</v>
      </c>
      <c r="W264" s="30" cm="1">
        <f t="array" ref="W264">_xlfn.XLOOKUP(TRIM(Table5[[#This Row],[ItemName]]), TRIM(Menu_Price_List_tbl[ItemName]),Menu_Price_List_tbl[UnitPrice_NPR])</f>
        <v>320</v>
      </c>
      <c r="X264" s="31">
        <f t="shared" si="14"/>
        <v>1280</v>
      </c>
      <c r="Y264" s="30">
        <f>_xlfn.XLOOKUP(Table5[[#This Row],[City]],City_Delivery_Fee_tbl[City],City_Delivery_Fee_tbl[BaseDeliveryFee_NPR])</f>
        <v>95</v>
      </c>
      <c r="Z26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64" s="31">
        <f>Table5[[#This Row],[Order Amount]]+Table5[[#This Row],[Delivery Fee]]-Table5[[#This Row],[Discount Amount]]</f>
        <v>1375</v>
      </c>
      <c r="AB264" s="30" t="str">
        <f>_xlfn.XLOOKUP(Table5[[#This Row],[RiderID]], Rider_Directory!$F$2:$F$26, Rider_Directory!$B$2:$B$26)</f>
        <v>Dharan</v>
      </c>
      <c r="AC264" s="30" t="str" cm="1">
        <f t="array" ref="AC264">_xlfn.IFS(Table5[[#This Row],[Final Amount]]&lt;500, "Small", Table5[[#This Row],[Final Amount]]&lt;=1000, "Medium", Table5[[#This Row],[Final Amount]]&gt;1000, "Large")</f>
        <v>Large</v>
      </c>
      <c r="AD264" s="30" t="str">
        <f>_xlfn.LET(_xlpm.expiry,_xlfn.XLOOKUP(Table5[[#This Row],[PromoCode]],Promo_Codes!$A$2:$A$9,Promo_Codes!$F$2:$F$9,DATE(2099,1,1)),IF(Table5[[#This Row],[OrderDate]]&gt;_xlpm.expiry,"Expired Code Used","Valid"))</f>
        <v>Valid</v>
      </c>
    </row>
    <row r="265" spans="1:30" x14ac:dyDescent="0.3">
      <c r="A265" s="28" t="s">
        <v>1049</v>
      </c>
      <c r="B265" s="27">
        <v>46022</v>
      </c>
      <c r="C265" s="28" t="s">
        <v>1050</v>
      </c>
      <c r="D265" s="28" t="s">
        <v>1276</v>
      </c>
      <c r="E265" s="27">
        <v>45962</v>
      </c>
      <c r="F265" s="27" t="str">
        <f t="shared" si="12"/>
        <v>Returning</v>
      </c>
      <c r="G265" s="28" t="s">
        <v>135</v>
      </c>
      <c r="H265" s="28" t="s">
        <v>136</v>
      </c>
      <c r="I265" s="28" t="s">
        <v>137</v>
      </c>
      <c r="J265" s="28" t="s">
        <v>138</v>
      </c>
      <c r="K265" s="29">
        <v>1</v>
      </c>
      <c r="L265" s="28" t="s">
        <v>265</v>
      </c>
      <c r="M265" s="28" t="s">
        <v>128</v>
      </c>
      <c r="N265" s="28"/>
      <c r="O265" s="28" t="s">
        <v>235</v>
      </c>
      <c r="P265" s="28" t="str">
        <f t="shared" si="13"/>
        <v/>
      </c>
      <c r="Q265" s="28"/>
      <c r="R265" s="29">
        <v>19</v>
      </c>
      <c r="S265" s="28"/>
      <c r="T265" s="30" t="str">
        <f>_xlfn.CONCAT(Table5[[#This Row],[OrderID]]," | ",Table5[[#This Row],[City]]," | ",Table5[[#This Row],[ItemName]])</f>
        <v>ORD-1261 | Kathmandu | Chicken Thakali Set</v>
      </c>
      <c r="U265" s="30" t="str">
        <f>UPPER(Table5[[#This Row],[City]])</f>
        <v>KATHMANDU</v>
      </c>
      <c r="V265" s="30" t="str">
        <f>LOWER(Table5[[#This Row],[PaymentMethod]])</f>
        <v>esewa</v>
      </c>
      <c r="W265" s="30" cm="1">
        <f t="array" ref="W265">_xlfn.XLOOKUP(TRIM(Table5[[#This Row],[ItemName]]), TRIM(Menu_Price_List_tbl[ItemName]),Menu_Price_List_tbl[UnitPrice_NPR])</f>
        <v>480</v>
      </c>
      <c r="X265" s="31">
        <f t="shared" si="14"/>
        <v>480</v>
      </c>
      <c r="Y265" s="30">
        <f>_xlfn.XLOOKUP(Table5[[#This Row],[City]],City_Delivery_Fee_tbl[City],City_Delivery_Fee_tbl[BaseDeliveryFee_NPR])</f>
        <v>50</v>
      </c>
      <c r="Z26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65" s="31">
        <f>Table5[[#This Row],[Order Amount]]+Table5[[#This Row],[Delivery Fee]]-Table5[[#This Row],[Discount Amount]]</f>
        <v>530</v>
      </c>
      <c r="AB265" s="30" t="str">
        <f>_xlfn.XLOOKUP(Table5[[#This Row],[RiderID]], Rider_Directory!$F$2:$F$26, Rider_Directory!$B$2:$B$26)</f>
        <v>Kathmandu</v>
      </c>
      <c r="AC265" s="30" t="str" cm="1">
        <f t="array" ref="AC265">_xlfn.IFS(Table5[[#This Row],[Final Amount]]&lt;500, "Small", Table5[[#This Row],[Final Amount]]&lt;=1000, "Medium", Table5[[#This Row],[Final Amount]]&gt;1000, "Large")</f>
        <v>Medium</v>
      </c>
      <c r="AD265" s="30" t="str">
        <f>_xlfn.LET(_xlpm.expiry,_xlfn.XLOOKUP(Table5[[#This Row],[PromoCode]],Promo_Codes!$A$2:$A$9,Promo_Codes!$F$2:$F$9,DATE(2099,1,1)),IF(Table5[[#This Row],[OrderDate]]&gt;_xlpm.expiry,"Expired Code Used","Valid"))</f>
        <v>Valid</v>
      </c>
    </row>
    <row r="266" spans="1:30" x14ac:dyDescent="0.3">
      <c r="A266" s="28" t="s">
        <v>1006</v>
      </c>
      <c r="B266" s="27"/>
      <c r="C266" s="28" t="s">
        <v>243</v>
      </c>
      <c r="D266" s="28" t="s">
        <v>1222</v>
      </c>
      <c r="E266" s="27">
        <v>45952</v>
      </c>
      <c r="F266" s="27" t="str">
        <f t="shared" si="12"/>
        <v>New</v>
      </c>
      <c r="G266" s="28" t="s">
        <v>206</v>
      </c>
      <c r="H266" s="28" t="s">
        <v>124</v>
      </c>
      <c r="I266" s="28" t="s">
        <v>125</v>
      </c>
      <c r="J266" s="28" t="s">
        <v>571</v>
      </c>
      <c r="K266" s="29">
        <v>4</v>
      </c>
      <c r="L266" s="28" t="s">
        <v>298</v>
      </c>
      <c r="M266" s="28" t="s">
        <v>159</v>
      </c>
      <c r="N266" s="28"/>
      <c r="O266" s="28" t="s">
        <v>130</v>
      </c>
      <c r="P266" s="28" t="str">
        <f t="shared" si="13"/>
        <v/>
      </c>
      <c r="Q266" s="29">
        <v>5</v>
      </c>
      <c r="R266" s="29">
        <v>54</v>
      </c>
      <c r="S266" s="28"/>
      <c r="T266" s="30" t="str">
        <f>_xlfn.CONCAT(Table5[[#This Row],[OrderID]]," | ",Table5[[#This Row],[City]]," | ",Table5[[#This Row],[ItemName]])</f>
        <v>ORD-1262 | Pokhara | Choila (Buff)</v>
      </c>
      <c r="U266" s="30" t="str">
        <f>UPPER(Table5[[#This Row],[City]])</f>
        <v>POKHARA</v>
      </c>
      <c r="V266" s="30" t="str">
        <f>LOWER(Table5[[#This Row],[PaymentMethod]])</f>
        <v>khalti</v>
      </c>
      <c r="W266" s="30" cm="1">
        <f t="array" ref="W266">_xlfn.XLOOKUP(TRIM(Table5[[#This Row],[ItemName]]), TRIM(Menu_Price_List_tbl[ItemName]),Menu_Price_List_tbl[UnitPrice_NPR])</f>
        <v>320</v>
      </c>
      <c r="X266" s="31">
        <f t="shared" si="14"/>
        <v>1280</v>
      </c>
      <c r="Y266" s="30">
        <f>_xlfn.XLOOKUP(Table5[[#This Row],[City]],City_Delivery_Fee_tbl[City],City_Delivery_Fee_tbl[BaseDeliveryFee_NPR])</f>
        <v>70</v>
      </c>
      <c r="Z26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66" s="31">
        <f>Table5[[#This Row],[Order Amount]]+Table5[[#This Row],[Delivery Fee]]-Table5[[#This Row],[Discount Amount]]</f>
        <v>1350</v>
      </c>
      <c r="AB266" s="30" t="str">
        <f>_xlfn.XLOOKUP(Table5[[#This Row],[RiderID]], Rider_Directory!$F$2:$F$26, Rider_Directory!$B$2:$B$26)</f>
        <v>Pokhara</v>
      </c>
      <c r="AC266" s="30" t="str" cm="1">
        <f t="array" ref="AC266">_xlfn.IFS(Table5[[#This Row],[Final Amount]]&lt;500, "Small", Table5[[#This Row],[Final Amount]]&lt;=1000, "Medium", Table5[[#This Row],[Final Amount]]&gt;1000, "Large")</f>
        <v>Large</v>
      </c>
      <c r="AD266" s="30" t="str">
        <f>_xlfn.LET(_xlpm.expiry,_xlfn.XLOOKUP(Table5[[#This Row],[PromoCode]],Promo_Codes!$A$2:$A$9,Promo_Codes!$F$2:$F$9,DATE(2099,1,1)),IF(Table5[[#This Row],[OrderDate]]&gt;_xlpm.expiry,"Expired Code Used","Valid"))</f>
        <v>Valid</v>
      </c>
    </row>
    <row r="267" spans="1:30" x14ac:dyDescent="0.3">
      <c r="A267" s="28" t="s">
        <v>556</v>
      </c>
      <c r="B267" s="27">
        <v>46023</v>
      </c>
      <c r="C267" s="28" t="s">
        <v>511</v>
      </c>
      <c r="D267" s="28" t="s">
        <v>1212</v>
      </c>
      <c r="E267" s="27">
        <v>45895</v>
      </c>
      <c r="F267" s="27" t="str">
        <f t="shared" si="12"/>
        <v>Returning</v>
      </c>
      <c r="G267" s="28" t="s">
        <v>206</v>
      </c>
      <c r="H267" s="28" t="s">
        <v>146</v>
      </c>
      <c r="I267" s="28" t="s">
        <v>147</v>
      </c>
      <c r="J267" s="28" t="s">
        <v>559</v>
      </c>
      <c r="K267" s="29">
        <v>1</v>
      </c>
      <c r="L267" s="28" t="s">
        <v>298</v>
      </c>
      <c r="M267" s="28" t="s">
        <v>159</v>
      </c>
      <c r="N267" s="28"/>
      <c r="O267" s="28" t="s">
        <v>130</v>
      </c>
      <c r="P267" s="28" t="str">
        <f t="shared" si="13"/>
        <v/>
      </c>
      <c r="Q267" s="29">
        <v>3</v>
      </c>
      <c r="R267" s="29">
        <v>67</v>
      </c>
      <c r="S267" s="28"/>
      <c r="T267" s="30" t="str">
        <f>_xlfn.CONCAT(Table5[[#This Row],[OrderID]]," | ",Table5[[#This Row],[City]]," | ",Table5[[#This Row],[ItemName]])</f>
        <v>ORD-1263 | Pokhara | Laddu (5 pcs)</v>
      </c>
      <c r="U267" s="30" t="str">
        <f>UPPER(Table5[[#This Row],[City]])</f>
        <v>POKHARA</v>
      </c>
      <c r="V267" s="30" t="str">
        <f>LOWER(Table5[[#This Row],[PaymentMethod]])</f>
        <v>khalti</v>
      </c>
      <c r="W267" s="30" cm="1">
        <f t="array" ref="W267">_xlfn.XLOOKUP(TRIM(Table5[[#This Row],[ItemName]]), TRIM(Menu_Price_List_tbl[ItemName]),Menu_Price_List_tbl[UnitPrice_NPR])</f>
        <v>180</v>
      </c>
      <c r="X267" s="31">
        <f t="shared" si="14"/>
        <v>180</v>
      </c>
      <c r="Y267" s="30">
        <f>_xlfn.XLOOKUP(Table5[[#This Row],[City]],City_Delivery_Fee_tbl[City],City_Delivery_Fee_tbl[BaseDeliveryFee_NPR])</f>
        <v>70</v>
      </c>
      <c r="Z26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67" s="31">
        <f>Table5[[#This Row],[Order Amount]]+Table5[[#This Row],[Delivery Fee]]-Table5[[#This Row],[Discount Amount]]</f>
        <v>250</v>
      </c>
      <c r="AB267" s="30" t="str">
        <f>_xlfn.XLOOKUP(Table5[[#This Row],[RiderID]], Rider_Directory!$F$2:$F$26, Rider_Directory!$B$2:$B$26)</f>
        <v>Pokhara</v>
      </c>
      <c r="AC267" s="30" t="str" cm="1">
        <f t="array" ref="AC267">_xlfn.IFS(Table5[[#This Row],[Final Amount]]&lt;500, "Small", Table5[[#This Row],[Final Amount]]&lt;=1000, "Medium", Table5[[#This Row],[Final Amount]]&gt;1000, "Large")</f>
        <v>Small</v>
      </c>
      <c r="AD267" s="30" t="str">
        <f>_xlfn.LET(_xlpm.expiry,_xlfn.XLOOKUP(Table5[[#This Row],[PromoCode]],Promo_Codes!$A$2:$A$9,Promo_Codes!$F$2:$F$9,DATE(2099,1,1)),IF(Table5[[#This Row],[OrderDate]]&gt;_xlpm.expiry,"Expired Code Used","Valid"))</f>
        <v>Valid</v>
      </c>
    </row>
    <row r="268" spans="1:30" x14ac:dyDescent="0.3">
      <c r="A268" s="28" t="s">
        <v>426</v>
      </c>
      <c r="B268" s="27">
        <v>46024</v>
      </c>
      <c r="C268" s="28" t="s">
        <v>427</v>
      </c>
      <c r="D268" s="28" t="s">
        <v>1208</v>
      </c>
      <c r="E268" s="27">
        <v>45928</v>
      </c>
      <c r="F268" s="27" t="str">
        <f t="shared" si="12"/>
        <v>Returning</v>
      </c>
      <c r="G268" s="28" t="s">
        <v>206</v>
      </c>
      <c r="H268" s="28" t="s">
        <v>199</v>
      </c>
      <c r="I268" s="28" t="s">
        <v>179</v>
      </c>
      <c r="J268" s="28" t="s">
        <v>368</v>
      </c>
      <c r="K268" s="29">
        <v>3</v>
      </c>
      <c r="L268" s="28" t="s">
        <v>208</v>
      </c>
      <c r="M268" s="28" t="s">
        <v>128</v>
      </c>
      <c r="N268" s="28"/>
      <c r="O268" s="28" t="s">
        <v>279</v>
      </c>
      <c r="P268" s="28" t="str">
        <f t="shared" si="13"/>
        <v/>
      </c>
      <c r="Q268" s="28"/>
      <c r="R268" s="29">
        <v>39</v>
      </c>
      <c r="S268" s="28" t="s">
        <v>280</v>
      </c>
      <c r="T268" s="30" t="str">
        <f>_xlfn.CONCAT(Table5[[#This Row],[OrderID]]," | ",Table5[[#This Row],[City]]," | ",Table5[[#This Row],[ItemName]])</f>
        <v>ORD-1264 | Pokhara | Veg Burger</v>
      </c>
      <c r="U268" s="30" t="str">
        <f>UPPER(Table5[[#This Row],[City]])</f>
        <v>POKHARA</v>
      </c>
      <c r="V268" s="30" t="str">
        <f>LOWER(Table5[[#This Row],[PaymentMethod]])</f>
        <v>esewa</v>
      </c>
      <c r="W268" s="30" cm="1">
        <f t="array" ref="W268">_xlfn.XLOOKUP(TRIM(Table5[[#This Row],[ItemName]]), TRIM(Menu_Price_List_tbl[ItemName]),Menu_Price_List_tbl[UnitPrice_NPR])</f>
        <v>220</v>
      </c>
      <c r="X268" s="31">
        <f t="shared" si="14"/>
        <v>660</v>
      </c>
      <c r="Y268" s="30">
        <f>_xlfn.XLOOKUP(Table5[[#This Row],[City]],City_Delivery_Fee_tbl[City],City_Delivery_Fee_tbl[BaseDeliveryFee_NPR])</f>
        <v>70</v>
      </c>
      <c r="Z26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68" s="31">
        <f>Table5[[#This Row],[Order Amount]]+Table5[[#This Row],[Delivery Fee]]-Table5[[#This Row],[Discount Amount]]</f>
        <v>730</v>
      </c>
      <c r="AB268" s="30" t="str">
        <f>_xlfn.XLOOKUP(Table5[[#This Row],[RiderID]], Rider_Directory!$F$2:$F$26, Rider_Directory!$B$2:$B$26)</f>
        <v>Pokhara</v>
      </c>
      <c r="AC268" s="30" t="str" cm="1">
        <f t="array" ref="AC268">_xlfn.IFS(Table5[[#This Row],[Final Amount]]&lt;500, "Small", Table5[[#This Row],[Final Amount]]&lt;=1000, "Medium", Table5[[#This Row],[Final Amount]]&gt;1000, "Large")</f>
        <v>Medium</v>
      </c>
      <c r="AD268" s="30" t="str">
        <f>_xlfn.LET(_xlpm.expiry,_xlfn.XLOOKUP(Table5[[#This Row],[PromoCode]],Promo_Codes!$A$2:$A$9,Promo_Codes!$F$2:$F$9,DATE(2099,1,1)),IF(Table5[[#This Row],[OrderDate]]&gt;_xlpm.expiry,"Expired Code Used","Valid"))</f>
        <v>Valid</v>
      </c>
    </row>
    <row r="269" spans="1:30" x14ac:dyDescent="0.3">
      <c r="A269" s="28" t="s">
        <v>493</v>
      </c>
      <c r="B269" s="27">
        <v>46024</v>
      </c>
      <c r="C269" s="28" t="s">
        <v>896</v>
      </c>
      <c r="D269" s="28" t="s">
        <v>1221</v>
      </c>
      <c r="E269" s="27">
        <v>45947</v>
      </c>
      <c r="F269" s="27" t="str">
        <f t="shared" si="12"/>
        <v>Returning</v>
      </c>
      <c r="G269" s="28" t="s">
        <v>145</v>
      </c>
      <c r="H269" s="28" t="s">
        <v>331</v>
      </c>
      <c r="I269" s="28" t="s">
        <v>164</v>
      </c>
      <c r="J269" s="28" t="s">
        <v>393</v>
      </c>
      <c r="K269" s="29">
        <v>1</v>
      </c>
      <c r="L269" s="28" t="s">
        <v>149</v>
      </c>
      <c r="M269" s="28" t="s">
        <v>140</v>
      </c>
      <c r="N269" s="28"/>
      <c r="O269" s="28" t="s">
        <v>130</v>
      </c>
      <c r="P269" s="28" t="str">
        <f t="shared" si="13"/>
        <v/>
      </c>
      <c r="Q269" s="29">
        <v>5</v>
      </c>
      <c r="R269" s="29">
        <v>31</v>
      </c>
      <c r="S269" s="28"/>
      <c r="T269" s="30" t="str">
        <f>_xlfn.CONCAT(Table5[[#This Row],[OrderID]]," | ",Table5[[#This Row],[City]]," | ",Table5[[#This Row],[ItemName]])</f>
        <v>ORD-1265 | Chitwan | Lemon Soda</v>
      </c>
      <c r="U269" s="30" t="str">
        <f>UPPER(Table5[[#This Row],[City]])</f>
        <v>CHITWAN</v>
      </c>
      <c r="V269" s="30" t="str">
        <f>LOWER(Table5[[#This Row],[PaymentMethod]])</f>
        <v>cash on delivery</v>
      </c>
      <c r="W269" s="30" cm="1">
        <f t="array" ref="W269">_xlfn.XLOOKUP(TRIM(Table5[[#This Row],[ItemName]]), TRIM(Menu_Price_List_tbl[ItemName]),Menu_Price_List_tbl[UnitPrice_NPR])</f>
        <v>100</v>
      </c>
      <c r="X269" s="31">
        <f t="shared" si="14"/>
        <v>100</v>
      </c>
      <c r="Y269" s="30">
        <f>_xlfn.XLOOKUP(Table5[[#This Row],[City]],City_Delivery_Fee_tbl[City],City_Delivery_Fee_tbl[BaseDeliveryFee_NPR])</f>
        <v>80</v>
      </c>
      <c r="Z26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69" s="31">
        <f>Table5[[#This Row],[Order Amount]]+Table5[[#This Row],[Delivery Fee]]-Table5[[#This Row],[Discount Amount]]</f>
        <v>180</v>
      </c>
      <c r="AB269" s="30" t="str">
        <f>_xlfn.XLOOKUP(Table5[[#This Row],[RiderID]], Rider_Directory!$F$2:$F$26, Rider_Directory!$B$2:$B$26)</f>
        <v>Chitwan</v>
      </c>
      <c r="AC269" s="30" t="str" cm="1">
        <f t="array" ref="AC269">_xlfn.IFS(Table5[[#This Row],[Final Amount]]&lt;500, "Small", Table5[[#This Row],[Final Amount]]&lt;=1000, "Medium", Table5[[#This Row],[Final Amount]]&gt;1000, "Large")</f>
        <v>Small</v>
      </c>
      <c r="AD269" s="30" t="str">
        <f>_xlfn.LET(_xlpm.expiry,_xlfn.XLOOKUP(Table5[[#This Row],[PromoCode]],Promo_Codes!$A$2:$A$9,Promo_Codes!$F$2:$F$9,DATE(2099,1,1)),IF(Table5[[#This Row],[OrderDate]]&gt;_xlpm.expiry,"Expired Code Used","Valid"))</f>
        <v>Valid</v>
      </c>
    </row>
    <row r="270" spans="1:30" x14ac:dyDescent="0.3">
      <c r="A270" s="28" t="s">
        <v>743</v>
      </c>
      <c r="B270" s="27">
        <v>46025</v>
      </c>
      <c r="C270" s="28" t="s">
        <v>458</v>
      </c>
      <c r="D270" s="28" t="s">
        <v>1196</v>
      </c>
      <c r="E270" s="27">
        <v>45871</v>
      </c>
      <c r="F270" s="27" t="str">
        <f t="shared" si="12"/>
        <v>Returning</v>
      </c>
      <c r="G270" s="28" t="s">
        <v>177</v>
      </c>
      <c r="H270" s="28" t="s">
        <v>178</v>
      </c>
      <c r="I270" s="28" t="s">
        <v>179</v>
      </c>
      <c r="J270" s="28" t="s">
        <v>465</v>
      </c>
      <c r="K270" s="29">
        <v>1</v>
      </c>
      <c r="L270" s="28" t="s">
        <v>713</v>
      </c>
      <c r="M270" s="28" t="s">
        <v>159</v>
      </c>
      <c r="N270" s="28"/>
      <c r="O270" s="28" t="s">
        <v>130</v>
      </c>
      <c r="P270" s="28" t="str">
        <f t="shared" si="13"/>
        <v/>
      </c>
      <c r="Q270" s="29">
        <v>4</v>
      </c>
      <c r="R270" s="29">
        <v>23</v>
      </c>
      <c r="S270" s="28"/>
      <c r="T270" s="30" t="str">
        <f>_xlfn.CONCAT(Table5[[#This Row],[OrderID]]," | ",Table5[[#This Row],[City]]," | ",Table5[[#This Row],[ItemName]])</f>
        <v>ORD-1266 | Bhaktapur | French Fries</v>
      </c>
      <c r="U270" s="30" t="str">
        <f>UPPER(Table5[[#This Row],[City]])</f>
        <v>BHAKTAPUR</v>
      </c>
      <c r="V270" s="30" t="str">
        <f>LOWER(Table5[[#This Row],[PaymentMethod]])</f>
        <v>khalti</v>
      </c>
      <c r="W270" s="30" cm="1">
        <f t="array" ref="W270">_xlfn.XLOOKUP(TRIM(Table5[[#This Row],[ItemName]]), TRIM(Menu_Price_List_tbl[ItemName]),Menu_Price_List_tbl[UnitPrice_NPR])</f>
        <v>160</v>
      </c>
      <c r="X270" s="31">
        <f t="shared" si="14"/>
        <v>160</v>
      </c>
      <c r="Y270" s="30">
        <f>_xlfn.XLOOKUP(Table5[[#This Row],[City]],City_Delivery_Fee_tbl[City],City_Delivery_Fee_tbl[BaseDeliveryFee_NPR])</f>
        <v>55</v>
      </c>
      <c r="Z27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70" s="31">
        <f>Table5[[#This Row],[Order Amount]]+Table5[[#This Row],[Delivery Fee]]-Table5[[#This Row],[Discount Amount]]</f>
        <v>215</v>
      </c>
      <c r="AB270" s="30" t="str">
        <f>_xlfn.XLOOKUP(Table5[[#This Row],[RiderID]], Rider_Directory!$F$2:$F$26, Rider_Directory!$B$2:$B$26)</f>
        <v>Bhaktapur</v>
      </c>
      <c r="AC270" s="30" t="str" cm="1">
        <f t="array" ref="AC270">_xlfn.IFS(Table5[[#This Row],[Final Amount]]&lt;500, "Small", Table5[[#This Row],[Final Amount]]&lt;=1000, "Medium", Table5[[#This Row],[Final Amount]]&gt;1000, "Large")</f>
        <v>Small</v>
      </c>
      <c r="AD270" s="30" t="str">
        <f>_xlfn.LET(_xlpm.expiry,_xlfn.XLOOKUP(Table5[[#This Row],[PromoCode]],Promo_Codes!$A$2:$A$9,Promo_Codes!$F$2:$F$9,DATE(2099,1,1)),IF(Table5[[#This Row],[OrderDate]]&gt;_xlpm.expiry,"Expired Code Used","Valid"))</f>
        <v>Valid</v>
      </c>
    </row>
    <row r="271" spans="1:30" x14ac:dyDescent="0.3">
      <c r="A271" s="28" t="s">
        <v>763</v>
      </c>
      <c r="B271" s="27">
        <v>46025</v>
      </c>
      <c r="C271" s="28" t="s">
        <v>764</v>
      </c>
      <c r="D271" s="28" t="s">
        <v>1262</v>
      </c>
      <c r="E271" s="27">
        <v>45767</v>
      </c>
      <c r="F271" s="27" t="str">
        <f t="shared" si="12"/>
        <v>Returning</v>
      </c>
      <c r="G271" s="28" t="s">
        <v>198</v>
      </c>
      <c r="H271" s="28" t="s">
        <v>199</v>
      </c>
      <c r="I271" s="28" t="s">
        <v>179</v>
      </c>
      <c r="J271" s="28" t="s">
        <v>512</v>
      </c>
      <c r="K271" s="29">
        <v>2</v>
      </c>
      <c r="L271" s="28" t="s">
        <v>251</v>
      </c>
      <c r="M271" s="28" t="s">
        <v>159</v>
      </c>
      <c r="N271" s="28"/>
      <c r="O271" s="28" t="s">
        <v>130</v>
      </c>
      <c r="P271" s="28" t="str">
        <f t="shared" si="13"/>
        <v/>
      </c>
      <c r="Q271" s="29">
        <v>4</v>
      </c>
      <c r="R271" s="29">
        <v>33</v>
      </c>
      <c r="S271" s="28" t="s">
        <v>131</v>
      </c>
      <c r="T271" s="30" t="str">
        <f>_xlfn.CONCAT(Table5[[#This Row],[OrderID]]," | ",Table5[[#This Row],[City]]," | ",Table5[[#This Row],[ItemName]])</f>
        <v>ORD-1267 | Lalitpur | FRENCH FRIES</v>
      </c>
      <c r="U271" s="30" t="str">
        <f>UPPER(Table5[[#This Row],[City]])</f>
        <v>LALITPUR</v>
      </c>
      <c r="V271" s="30" t="str">
        <f>LOWER(Table5[[#This Row],[PaymentMethod]])</f>
        <v>khalti</v>
      </c>
      <c r="W271" s="30" cm="1">
        <f t="array" ref="W271">_xlfn.XLOOKUP(TRIM(Table5[[#This Row],[ItemName]]), TRIM(Menu_Price_List_tbl[ItemName]),Menu_Price_List_tbl[UnitPrice_NPR])</f>
        <v>160</v>
      </c>
      <c r="X271" s="31">
        <f t="shared" si="14"/>
        <v>320</v>
      </c>
      <c r="Y271" s="30">
        <f>_xlfn.XLOOKUP(Table5[[#This Row],[City]],City_Delivery_Fee_tbl[City],City_Delivery_Fee_tbl[BaseDeliveryFee_NPR])</f>
        <v>50</v>
      </c>
      <c r="Z27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71" s="31">
        <f>Table5[[#This Row],[Order Amount]]+Table5[[#This Row],[Delivery Fee]]-Table5[[#This Row],[Discount Amount]]</f>
        <v>370</v>
      </c>
      <c r="AB271" s="30" t="str">
        <f>_xlfn.XLOOKUP(Table5[[#This Row],[RiderID]], Rider_Directory!$F$2:$F$26, Rider_Directory!$B$2:$B$26)</f>
        <v>Lalitpur</v>
      </c>
      <c r="AC271" s="30" t="str" cm="1">
        <f t="array" ref="AC271">_xlfn.IFS(Table5[[#This Row],[Final Amount]]&lt;500, "Small", Table5[[#This Row],[Final Amount]]&lt;=1000, "Medium", Table5[[#This Row],[Final Amount]]&gt;1000, "Large")</f>
        <v>Small</v>
      </c>
      <c r="AD271" s="30" t="str">
        <f>_xlfn.LET(_xlpm.expiry,_xlfn.XLOOKUP(Table5[[#This Row],[PromoCode]],Promo_Codes!$A$2:$A$9,Promo_Codes!$F$2:$F$9,DATE(2099,1,1)),IF(Table5[[#This Row],[OrderDate]]&gt;_xlpm.expiry,"Expired Code Used","Valid"))</f>
        <v>Valid</v>
      </c>
    </row>
    <row r="272" spans="1:30" x14ac:dyDescent="0.3">
      <c r="A272" s="28" t="s">
        <v>476</v>
      </c>
      <c r="B272" s="27">
        <v>46025</v>
      </c>
      <c r="C272" s="28" t="s">
        <v>745</v>
      </c>
      <c r="D272" s="28" t="s">
        <v>1218</v>
      </c>
      <c r="E272" s="27">
        <v>45953</v>
      </c>
      <c r="F272" s="27" t="str">
        <f t="shared" si="12"/>
        <v>Returning</v>
      </c>
      <c r="G272" s="28" t="s">
        <v>135</v>
      </c>
      <c r="H272" s="28" t="s">
        <v>199</v>
      </c>
      <c r="I272" s="28" t="s">
        <v>179</v>
      </c>
      <c r="J272" s="28" t="s">
        <v>479</v>
      </c>
      <c r="K272" s="29">
        <v>1</v>
      </c>
      <c r="L272" s="28" t="s">
        <v>265</v>
      </c>
      <c r="M272" s="28" t="s">
        <v>128</v>
      </c>
      <c r="N272" s="28" t="s">
        <v>336</v>
      </c>
      <c r="O272" s="28" t="s">
        <v>130</v>
      </c>
      <c r="P272" s="28" t="str">
        <f t="shared" si="13"/>
        <v/>
      </c>
      <c r="Q272" s="29">
        <v>5</v>
      </c>
      <c r="R272" s="29">
        <v>24</v>
      </c>
      <c r="S272" s="28"/>
      <c r="T272" s="30" t="str">
        <f>_xlfn.CONCAT(Table5[[#This Row],[OrderID]]," | ",Table5[[#This Row],[City]]," | ",Table5[[#This Row],[ItemName]])</f>
        <v>ORD-1268 | Kathmandu | veg fried rice</v>
      </c>
      <c r="U272" s="30" t="str">
        <f>UPPER(Table5[[#This Row],[City]])</f>
        <v>KATHMANDU</v>
      </c>
      <c r="V272" s="30" t="str">
        <f>LOWER(Table5[[#This Row],[PaymentMethod]])</f>
        <v>esewa</v>
      </c>
      <c r="W272" s="30" cm="1">
        <f t="array" ref="W272">_xlfn.XLOOKUP(TRIM(Table5[[#This Row],[ItemName]]), TRIM(Menu_Price_List_tbl[ItemName]),Menu_Price_List_tbl[UnitPrice_NPR])</f>
        <v>220</v>
      </c>
      <c r="X272" s="31">
        <f t="shared" si="14"/>
        <v>220</v>
      </c>
      <c r="Y272" s="30">
        <f>_xlfn.XLOOKUP(Table5[[#This Row],[City]],City_Delivery_Fee_tbl[City],City_Delivery_Fee_tbl[BaseDeliveryFee_NPR])</f>
        <v>50</v>
      </c>
      <c r="Z27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272" s="31">
        <f>Table5[[#This Row],[Order Amount]]+Table5[[#This Row],[Delivery Fee]]-Table5[[#This Row],[Discount Amount]]</f>
        <v>220</v>
      </c>
      <c r="AB272" s="30" t="str">
        <f>_xlfn.XLOOKUP(Table5[[#This Row],[RiderID]], Rider_Directory!$F$2:$F$26, Rider_Directory!$B$2:$B$26)</f>
        <v>Kathmandu</v>
      </c>
      <c r="AC272" s="30" t="str" cm="1">
        <f t="array" ref="AC272">_xlfn.IFS(Table5[[#This Row],[Final Amount]]&lt;500, "Small", Table5[[#This Row],[Final Amount]]&lt;=1000, "Medium", Table5[[#This Row],[Final Amount]]&gt;1000, "Large")</f>
        <v>Small</v>
      </c>
      <c r="AD272" s="30" t="str">
        <f>_xlfn.LET(_xlpm.expiry,_xlfn.XLOOKUP(Table5[[#This Row],[PromoCode]],Promo_Codes!$A$2:$A$9,Promo_Codes!$F$2:$F$9,DATE(2099,1,1)),IF(Table5[[#This Row],[OrderDate]]&gt;_xlpm.expiry,"Expired Code Used","Valid"))</f>
        <v>Valid</v>
      </c>
    </row>
    <row r="273" spans="1:30" x14ac:dyDescent="0.3">
      <c r="A273" s="28" t="s">
        <v>999</v>
      </c>
      <c r="B273" s="27">
        <v>46025</v>
      </c>
      <c r="C273" s="28" t="s">
        <v>384</v>
      </c>
      <c r="D273" s="28" t="s">
        <v>1199</v>
      </c>
      <c r="E273" s="27">
        <v>45948</v>
      </c>
      <c r="F273" s="27" t="str">
        <f t="shared" si="12"/>
        <v>Returning</v>
      </c>
      <c r="G273" s="28" t="s">
        <v>206</v>
      </c>
      <c r="H273" s="28" t="s">
        <v>136</v>
      </c>
      <c r="I273" s="28" t="s">
        <v>137</v>
      </c>
      <c r="J273" s="28" t="s">
        <v>593</v>
      </c>
      <c r="K273" s="29">
        <v>3</v>
      </c>
      <c r="L273" s="28" t="s">
        <v>358</v>
      </c>
      <c r="M273" s="28" t="s">
        <v>128</v>
      </c>
      <c r="N273" s="28"/>
      <c r="O273" s="28" t="s">
        <v>130</v>
      </c>
      <c r="P273" s="28" t="str">
        <f t="shared" si="13"/>
        <v/>
      </c>
      <c r="Q273" s="29">
        <v>5</v>
      </c>
      <c r="R273" s="29">
        <v>50</v>
      </c>
      <c r="S273" s="28" t="s">
        <v>291</v>
      </c>
      <c r="T273" s="30" t="str">
        <f>_xlfn.CONCAT(Table5[[#This Row],[OrderID]]," | ",Table5[[#This Row],[City]]," | ",Table5[[#This Row],[ItemName]])</f>
        <v>ORD-1269 | Pokhara | Mutton Thakali Set</v>
      </c>
      <c r="U273" s="30" t="str">
        <f>UPPER(Table5[[#This Row],[City]])</f>
        <v>POKHARA</v>
      </c>
      <c r="V273" s="30" t="str">
        <f>LOWER(Table5[[#This Row],[PaymentMethod]])</f>
        <v>esewa</v>
      </c>
      <c r="W273" s="30" cm="1">
        <f t="array" ref="W273">_xlfn.XLOOKUP(TRIM(Table5[[#This Row],[ItemName]]), TRIM(Menu_Price_List_tbl[ItemName]),Menu_Price_List_tbl[UnitPrice_NPR])</f>
        <v>650</v>
      </c>
      <c r="X273" s="31">
        <f t="shared" si="14"/>
        <v>1950</v>
      </c>
      <c r="Y273" s="30">
        <f>_xlfn.XLOOKUP(Table5[[#This Row],[City]],City_Delivery_Fee_tbl[City],City_Delivery_Fee_tbl[BaseDeliveryFee_NPR])</f>
        <v>70</v>
      </c>
      <c r="Z27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73" s="31">
        <f>Table5[[#This Row],[Order Amount]]+Table5[[#This Row],[Delivery Fee]]-Table5[[#This Row],[Discount Amount]]</f>
        <v>2020</v>
      </c>
      <c r="AB273" s="30" t="str">
        <f>_xlfn.XLOOKUP(Table5[[#This Row],[RiderID]], Rider_Directory!$F$2:$F$26, Rider_Directory!$B$2:$B$26)</f>
        <v>Pokhara</v>
      </c>
      <c r="AC273" s="30" t="str" cm="1">
        <f t="array" ref="AC273">_xlfn.IFS(Table5[[#This Row],[Final Amount]]&lt;500, "Small", Table5[[#This Row],[Final Amount]]&lt;=1000, "Medium", Table5[[#This Row],[Final Amount]]&gt;1000, "Large")</f>
        <v>Large</v>
      </c>
      <c r="AD273" s="30" t="str">
        <f>_xlfn.LET(_xlpm.expiry,_xlfn.XLOOKUP(Table5[[#This Row],[PromoCode]],Promo_Codes!$A$2:$A$9,Promo_Codes!$F$2:$F$9,DATE(2099,1,1)),IF(Table5[[#This Row],[OrderDate]]&gt;_xlpm.expiry,"Expired Code Used","Valid"))</f>
        <v>Valid</v>
      </c>
    </row>
    <row r="274" spans="1:30" x14ac:dyDescent="0.3">
      <c r="A274" s="28" t="s">
        <v>846</v>
      </c>
      <c r="B274" s="27">
        <v>46025</v>
      </c>
      <c r="C274" s="28" t="s">
        <v>613</v>
      </c>
      <c r="D274" s="28" t="s">
        <v>1239</v>
      </c>
      <c r="E274" s="27">
        <v>45940</v>
      </c>
      <c r="F274" s="27" t="str">
        <f t="shared" si="12"/>
        <v>Returning</v>
      </c>
      <c r="G274" s="28" t="s">
        <v>145</v>
      </c>
      <c r="H274" s="28" t="s">
        <v>136</v>
      </c>
      <c r="I274" s="28" t="s">
        <v>137</v>
      </c>
      <c r="J274" s="28" t="s">
        <v>651</v>
      </c>
      <c r="K274" s="29">
        <v>1</v>
      </c>
      <c r="L274" s="28" t="s">
        <v>149</v>
      </c>
      <c r="M274" s="28" t="s">
        <v>128</v>
      </c>
      <c r="N274" s="28"/>
      <c r="O274" s="28" t="s">
        <v>130</v>
      </c>
      <c r="P274" s="28" t="str">
        <f t="shared" si="13"/>
        <v/>
      </c>
      <c r="Q274" s="29">
        <v>4</v>
      </c>
      <c r="R274" s="29">
        <v>66</v>
      </c>
      <c r="S274" s="28" t="s">
        <v>291</v>
      </c>
      <c r="T274" s="30" t="str">
        <f>_xlfn.CONCAT(Table5[[#This Row],[OrderID]]," | ",Table5[[#This Row],[City]]," | ",Table5[[#This Row],[ItemName]])</f>
        <v xml:space="preserve">ORD-1270 | Chitwan | Veg Thakali Set  </v>
      </c>
      <c r="U274" s="30" t="str">
        <f>UPPER(Table5[[#This Row],[City]])</f>
        <v>CHITWAN</v>
      </c>
      <c r="V274" s="30" t="str">
        <f>LOWER(Table5[[#This Row],[PaymentMethod]])</f>
        <v>esewa</v>
      </c>
      <c r="W274" s="30" cm="1">
        <f t="array" ref="W274">_xlfn.XLOOKUP(TRIM(Table5[[#This Row],[ItemName]]), TRIM(Menu_Price_List_tbl[ItemName]),Menu_Price_List_tbl[UnitPrice_NPR])</f>
        <v>380</v>
      </c>
      <c r="X274" s="31">
        <f t="shared" si="14"/>
        <v>380</v>
      </c>
      <c r="Y274" s="30">
        <f>_xlfn.XLOOKUP(Table5[[#This Row],[City]],City_Delivery_Fee_tbl[City],City_Delivery_Fee_tbl[BaseDeliveryFee_NPR])</f>
        <v>80</v>
      </c>
      <c r="Z27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74" s="31">
        <f>Table5[[#This Row],[Order Amount]]+Table5[[#This Row],[Delivery Fee]]-Table5[[#This Row],[Discount Amount]]</f>
        <v>460</v>
      </c>
      <c r="AB274" s="30" t="str">
        <f>_xlfn.XLOOKUP(Table5[[#This Row],[RiderID]], Rider_Directory!$F$2:$F$26, Rider_Directory!$B$2:$B$26)</f>
        <v>Chitwan</v>
      </c>
      <c r="AC274" s="30" t="str" cm="1">
        <f t="array" ref="AC274">_xlfn.IFS(Table5[[#This Row],[Final Amount]]&lt;500, "Small", Table5[[#This Row],[Final Amount]]&lt;=1000, "Medium", Table5[[#This Row],[Final Amount]]&gt;1000, "Large")</f>
        <v>Small</v>
      </c>
      <c r="AD274" s="30" t="str">
        <f>_xlfn.LET(_xlpm.expiry,_xlfn.XLOOKUP(Table5[[#This Row],[PromoCode]],Promo_Codes!$A$2:$A$9,Promo_Codes!$F$2:$F$9,DATE(2099,1,1)),IF(Table5[[#This Row],[OrderDate]]&gt;_xlpm.expiry,"Expired Code Used","Valid"))</f>
        <v>Valid</v>
      </c>
    </row>
    <row r="275" spans="1:30" x14ac:dyDescent="0.3">
      <c r="A275" s="28" t="s">
        <v>379</v>
      </c>
      <c r="B275" s="27">
        <v>46025</v>
      </c>
      <c r="C275" s="28" t="s">
        <v>789</v>
      </c>
      <c r="D275" s="28" t="s">
        <v>1198</v>
      </c>
      <c r="E275" s="27">
        <v>45956</v>
      </c>
      <c r="F275" s="27" t="str">
        <f t="shared" si="12"/>
        <v>Returning</v>
      </c>
      <c r="G275" s="28" t="s">
        <v>123</v>
      </c>
      <c r="H275" s="28" t="s">
        <v>124</v>
      </c>
      <c r="I275" s="28" t="s">
        <v>125</v>
      </c>
      <c r="J275" s="28" t="s">
        <v>382</v>
      </c>
      <c r="K275" s="29">
        <v>1</v>
      </c>
      <c r="L275" s="28" t="s">
        <v>166</v>
      </c>
      <c r="M275" s="28" t="s">
        <v>140</v>
      </c>
      <c r="N275" s="28" t="s">
        <v>255</v>
      </c>
      <c r="O275" s="28" t="s">
        <v>130</v>
      </c>
      <c r="P275" s="28" t="str">
        <f t="shared" si="13"/>
        <v/>
      </c>
      <c r="Q275" s="29">
        <v>4</v>
      </c>
      <c r="R275" s="29">
        <v>40</v>
      </c>
      <c r="S275" s="28"/>
      <c r="T275" s="30" t="str">
        <f>_xlfn.CONCAT(Table5[[#This Row],[OrderID]]," | ",Table5[[#This Row],[City]]," | ",Table5[[#This Row],[ItemName]])</f>
        <v>ORD-1271 | Biratnagar | Yomari</v>
      </c>
      <c r="U275" s="30" t="str">
        <f>UPPER(Table5[[#This Row],[City]])</f>
        <v>BIRATNAGAR</v>
      </c>
      <c r="V275" s="30" t="str">
        <f>LOWER(Table5[[#This Row],[PaymentMethod]])</f>
        <v>cash on delivery</v>
      </c>
      <c r="W275" s="30" cm="1">
        <f t="array" ref="W275">_xlfn.XLOOKUP(TRIM(Table5[[#This Row],[ItemName]]), TRIM(Menu_Price_List_tbl[ItemName]),Menu_Price_List_tbl[UnitPrice_NPR])</f>
        <v>180</v>
      </c>
      <c r="X275" s="31">
        <f t="shared" si="14"/>
        <v>180</v>
      </c>
      <c r="Y275" s="30">
        <f>_xlfn.XLOOKUP(Table5[[#This Row],[City]],City_Delivery_Fee_tbl[City],City_Delivery_Fee_tbl[BaseDeliveryFee_NPR])</f>
        <v>90</v>
      </c>
      <c r="Z27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18</v>
      </c>
      <c r="AA275" s="31">
        <f>Table5[[#This Row],[Order Amount]]+Table5[[#This Row],[Delivery Fee]]-Table5[[#This Row],[Discount Amount]]</f>
        <v>252</v>
      </c>
      <c r="AB275" s="30" t="str">
        <f>_xlfn.XLOOKUP(Table5[[#This Row],[RiderID]], Rider_Directory!$F$2:$F$26, Rider_Directory!$B$2:$B$26)</f>
        <v>Biratnagar</v>
      </c>
      <c r="AC275" s="30" t="str" cm="1">
        <f t="array" ref="AC275">_xlfn.IFS(Table5[[#This Row],[Final Amount]]&lt;500, "Small", Table5[[#This Row],[Final Amount]]&lt;=1000, "Medium", Table5[[#This Row],[Final Amount]]&gt;1000, "Large")</f>
        <v>Small</v>
      </c>
      <c r="AD275" s="30" t="str">
        <f>_xlfn.LET(_xlpm.expiry,_xlfn.XLOOKUP(Table5[[#This Row],[PromoCode]],Promo_Codes!$A$2:$A$9,Promo_Codes!$F$2:$F$9,DATE(2099,1,1)),IF(Table5[[#This Row],[OrderDate]]&gt;_xlpm.expiry,"Expired Code Used","Valid"))</f>
        <v>Valid</v>
      </c>
    </row>
    <row r="276" spans="1:30" x14ac:dyDescent="0.3">
      <c r="A276" s="28" t="s">
        <v>996</v>
      </c>
      <c r="B276" s="27">
        <v>46026</v>
      </c>
      <c r="C276" s="28" t="s">
        <v>237</v>
      </c>
      <c r="D276" s="28" t="s">
        <v>1174</v>
      </c>
      <c r="E276" s="27">
        <v>45878</v>
      </c>
      <c r="F276" s="27" t="str">
        <f t="shared" si="12"/>
        <v>Returning</v>
      </c>
      <c r="G276" s="28" t="s">
        <v>135</v>
      </c>
      <c r="H276" s="28" t="s">
        <v>136</v>
      </c>
      <c r="I276" s="28" t="s">
        <v>137</v>
      </c>
      <c r="J276" s="28" t="s">
        <v>593</v>
      </c>
      <c r="K276" s="29">
        <v>3</v>
      </c>
      <c r="L276" s="28" t="s">
        <v>187</v>
      </c>
      <c r="M276" s="28" t="s">
        <v>128</v>
      </c>
      <c r="N276" s="28" t="s">
        <v>336</v>
      </c>
      <c r="O276" s="28" t="s">
        <v>130</v>
      </c>
      <c r="P276" s="28" t="str">
        <f t="shared" si="13"/>
        <v/>
      </c>
      <c r="Q276" s="29">
        <v>4</v>
      </c>
      <c r="R276" s="29">
        <v>32</v>
      </c>
      <c r="S276" s="28"/>
      <c r="T276" s="30" t="str">
        <f>_xlfn.CONCAT(Table5[[#This Row],[OrderID]]," | ",Table5[[#This Row],[City]]," | ",Table5[[#This Row],[ItemName]])</f>
        <v>ORD-1272 | Kathmandu | Mutton Thakali Set</v>
      </c>
      <c r="U276" s="30" t="str">
        <f>UPPER(Table5[[#This Row],[City]])</f>
        <v>KATHMANDU</v>
      </c>
      <c r="V276" s="30" t="str">
        <f>LOWER(Table5[[#This Row],[PaymentMethod]])</f>
        <v>esewa</v>
      </c>
      <c r="W276" s="30" cm="1">
        <f t="array" ref="W276">_xlfn.XLOOKUP(TRIM(Table5[[#This Row],[ItemName]]), TRIM(Menu_Price_List_tbl[ItemName]),Menu_Price_List_tbl[UnitPrice_NPR])</f>
        <v>650</v>
      </c>
      <c r="X276" s="31">
        <f t="shared" si="14"/>
        <v>1950</v>
      </c>
      <c r="Y276" s="30">
        <f>_xlfn.XLOOKUP(Table5[[#This Row],[City]],City_Delivery_Fee_tbl[City],City_Delivery_Fee_tbl[BaseDeliveryFee_NPR])</f>
        <v>50</v>
      </c>
      <c r="Z27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276" s="31">
        <f>Table5[[#This Row],[Order Amount]]+Table5[[#This Row],[Delivery Fee]]-Table5[[#This Row],[Discount Amount]]</f>
        <v>1950</v>
      </c>
      <c r="AB276" s="30" t="str">
        <f>_xlfn.XLOOKUP(Table5[[#This Row],[RiderID]], Rider_Directory!$F$2:$F$26, Rider_Directory!$B$2:$B$26)</f>
        <v>Kathmandu</v>
      </c>
      <c r="AC276" s="30" t="str" cm="1">
        <f t="array" ref="AC276">_xlfn.IFS(Table5[[#This Row],[Final Amount]]&lt;500, "Small", Table5[[#This Row],[Final Amount]]&lt;=1000, "Medium", Table5[[#This Row],[Final Amount]]&gt;1000, "Large")</f>
        <v>Large</v>
      </c>
      <c r="AD276" s="30" t="str">
        <f>_xlfn.LET(_xlpm.expiry,_xlfn.XLOOKUP(Table5[[#This Row],[PromoCode]],Promo_Codes!$A$2:$A$9,Promo_Codes!$F$2:$F$9,DATE(2099,1,1)),IF(Table5[[#This Row],[OrderDate]]&gt;_xlpm.expiry,"Expired Code Used","Valid"))</f>
        <v>Valid</v>
      </c>
    </row>
    <row r="277" spans="1:30" x14ac:dyDescent="0.3">
      <c r="A277" s="28" t="s">
        <v>402</v>
      </c>
      <c r="B277" s="27">
        <v>46026</v>
      </c>
      <c r="C277" s="28" t="s">
        <v>282</v>
      </c>
      <c r="D277" s="28" t="s">
        <v>1183</v>
      </c>
      <c r="E277" s="27">
        <v>45916</v>
      </c>
      <c r="F277" s="27" t="str">
        <f t="shared" si="12"/>
        <v>Returning</v>
      </c>
      <c r="G277" s="28" t="s">
        <v>135</v>
      </c>
      <c r="H277" s="28" t="s">
        <v>178</v>
      </c>
      <c r="I277" s="28" t="s">
        <v>179</v>
      </c>
      <c r="J277" s="28" t="s">
        <v>368</v>
      </c>
      <c r="K277" s="29">
        <v>2</v>
      </c>
      <c r="L277" s="28" t="s">
        <v>187</v>
      </c>
      <c r="M277" s="28" t="s">
        <v>140</v>
      </c>
      <c r="N277" s="28"/>
      <c r="O277" s="28" t="s">
        <v>235</v>
      </c>
      <c r="P277" s="28" t="str">
        <f t="shared" si="13"/>
        <v/>
      </c>
      <c r="Q277" s="28"/>
      <c r="R277" s="29">
        <v>25</v>
      </c>
      <c r="S277" s="28" t="s">
        <v>280</v>
      </c>
      <c r="T277" s="30" t="str">
        <f>_xlfn.CONCAT(Table5[[#This Row],[OrderID]]," | ",Table5[[#This Row],[City]]," | ",Table5[[#This Row],[ItemName]])</f>
        <v>ORD-1273 | Kathmandu | Veg Burger</v>
      </c>
      <c r="U277" s="30" t="str">
        <f>UPPER(Table5[[#This Row],[City]])</f>
        <v>KATHMANDU</v>
      </c>
      <c r="V277" s="30" t="str">
        <f>LOWER(Table5[[#This Row],[PaymentMethod]])</f>
        <v>cash on delivery</v>
      </c>
      <c r="W277" s="30" cm="1">
        <f t="array" ref="W277">_xlfn.XLOOKUP(TRIM(Table5[[#This Row],[ItemName]]), TRIM(Menu_Price_List_tbl[ItemName]),Menu_Price_List_tbl[UnitPrice_NPR])</f>
        <v>220</v>
      </c>
      <c r="X277" s="31">
        <f t="shared" si="14"/>
        <v>440</v>
      </c>
      <c r="Y277" s="30">
        <f>_xlfn.XLOOKUP(Table5[[#This Row],[City]],City_Delivery_Fee_tbl[City],City_Delivery_Fee_tbl[BaseDeliveryFee_NPR])</f>
        <v>50</v>
      </c>
      <c r="Z27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77" s="31">
        <f>Table5[[#This Row],[Order Amount]]+Table5[[#This Row],[Delivery Fee]]-Table5[[#This Row],[Discount Amount]]</f>
        <v>490</v>
      </c>
      <c r="AB277" s="30" t="str">
        <f>_xlfn.XLOOKUP(Table5[[#This Row],[RiderID]], Rider_Directory!$F$2:$F$26, Rider_Directory!$B$2:$B$26)</f>
        <v>Kathmandu</v>
      </c>
      <c r="AC277" s="30" t="str" cm="1">
        <f t="array" ref="AC277">_xlfn.IFS(Table5[[#This Row],[Final Amount]]&lt;500, "Small", Table5[[#This Row],[Final Amount]]&lt;=1000, "Medium", Table5[[#This Row],[Final Amount]]&gt;1000, "Large")</f>
        <v>Small</v>
      </c>
      <c r="AD277" s="30" t="str">
        <f>_xlfn.LET(_xlpm.expiry,_xlfn.XLOOKUP(Table5[[#This Row],[PromoCode]],Promo_Codes!$A$2:$A$9,Promo_Codes!$F$2:$F$9,DATE(2099,1,1)),IF(Table5[[#This Row],[OrderDate]]&gt;_xlpm.expiry,"Expired Code Used","Valid"))</f>
        <v>Valid</v>
      </c>
    </row>
    <row r="278" spans="1:30" x14ac:dyDescent="0.3">
      <c r="A278" s="28" t="s">
        <v>225</v>
      </c>
      <c r="B278" s="27">
        <v>46027</v>
      </c>
      <c r="C278" s="28" t="s">
        <v>511</v>
      </c>
      <c r="D278" s="28" t="s">
        <v>1172</v>
      </c>
      <c r="E278" s="27">
        <v>45967</v>
      </c>
      <c r="F278" s="27" t="str">
        <f t="shared" si="12"/>
        <v>Returning</v>
      </c>
      <c r="G278" s="28" t="s">
        <v>135</v>
      </c>
      <c r="H278" s="28" t="s">
        <v>199</v>
      </c>
      <c r="I278" s="28" t="s">
        <v>179</v>
      </c>
      <c r="J278" s="28" t="s">
        <v>200</v>
      </c>
      <c r="K278" s="29">
        <v>2</v>
      </c>
      <c r="L278" s="28" t="s">
        <v>223</v>
      </c>
      <c r="M278" s="28" t="s">
        <v>159</v>
      </c>
      <c r="N278" s="28" t="s">
        <v>129</v>
      </c>
      <c r="O278" s="28" t="s">
        <v>130</v>
      </c>
      <c r="P278" s="28" t="str">
        <f t="shared" si="13"/>
        <v/>
      </c>
      <c r="Q278" s="29">
        <v>4</v>
      </c>
      <c r="R278" s="29">
        <v>40</v>
      </c>
      <c r="S278" s="28"/>
      <c r="T278" s="30" t="str">
        <f>_xlfn.CONCAT(Table5[[#This Row],[OrderID]]," | ",Table5[[#This Row],[City]]," | ",Table5[[#This Row],[ItemName]])</f>
        <v>ORD-1274 | Kathmandu | Chicken Pizza</v>
      </c>
      <c r="U278" s="30" t="str">
        <f>UPPER(Table5[[#This Row],[City]])</f>
        <v>KATHMANDU</v>
      </c>
      <c r="V278" s="30" t="str">
        <f>LOWER(Table5[[#This Row],[PaymentMethod]])</f>
        <v>khalti</v>
      </c>
      <c r="W278" s="30" cm="1">
        <f t="array" ref="W278">_xlfn.XLOOKUP(TRIM(Table5[[#This Row],[ItemName]]), TRIM(Menu_Price_List_tbl[ItemName]),Menu_Price_List_tbl[UnitPrice_NPR])</f>
        <v>650</v>
      </c>
      <c r="X278" s="31">
        <f t="shared" si="14"/>
        <v>1300</v>
      </c>
      <c r="Y278" s="30">
        <f>_xlfn.XLOOKUP(Table5[[#This Row],[City]],City_Delivery_Fee_tbl[City],City_Delivery_Fee_tbl[BaseDeliveryFee_NPR])</f>
        <v>50</v>
      </c>
      <c r="Z27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278" s="31">
        <f>Table5[[#This Row],[Order Amount]]+Table5[[#This Row],[Delivery Fee]]-Table5[[#This Row],[Discount Amount]]</f>
        <v>1250</v>
      </c>
      <c r="AB278" s="30" t="str">
        <f>_xlfn.XLOOKUP(Table5[[#This Row],[RiderID]], Rider_Directory!$F$2:$F$26, Rider_Directory!$B$2:$B$26)</f>
        <v>Kathmandu</v>
      </c>
      <c r="AC278" s="30" t="str" cm="1">
        <f t="array" ref="AC278">_xlfn.IFS(Table5[[#This Row],[Final Amount]]&lt;500, "Small", Table5[[#This Row],[Final Amount]]&lt;=1000, "Medium", Table5[[#This Row],[Final Amount]]&gt;1000, "Large")</f>
        <v>Large</v>
      </c>
      <c r="AD278" s="30" t="str">
        <f>_xlfn.LET(_xlpm.expiry,_xlfn.XLOOKUP(Table5[[#This Row],[PromoCode]],Promo_Codes!$A$2:$A$9,Promo_Codes!$F$2:$F$9,DATE(2099,1,1)),IF(Table5[[#This Row],[OrderDate]]&gt;_xlpm.expiry,"Expired Code Used","Valid"))</f>
        <v>Expired Code Used</v>
      </c>
    </row>
    <row r="279" spans="1:30" x14ac:dyDescent="0.3">
      <c r="A279" s="28" t="s">
        <v>1015</v>
      </c>
      <c r="B279" s="27">
        <v>46027</v>
      </c>
      <c r="C279" s="28" t="s">
        <v>1141</v>
      </c>
      <c r="D279" s="28" t="s">
        <v>1254</v>
      </c>
      <c r="E279" s="27">
        <v>45881</v>
      </c>
      <c r="F279" s="27" t="str">
        <f t="shared" si="12"/>
        <v>Returning</v>
      </c>
      <c r="G279" s="28" t="s">
        <v>206</v>
      </c>
      <c r="H279" s="28" t="s">
        <v>178</v>
      </c>
      <c r="I279" s="28" t="s">
        <v>179</v>
      </c>
      <c r="J279" s="28" t="s">
        <v>465</v>
      </c>
      <c r="K279" s="29">
        <v>1</v>
      </c>
      <c r="L279" s="28" t="s">
        <v>353</v>
      </c>
      <c r="M279" s="28" t="s">
        <v>159</v>
      </c>
      <c r="N279" s="28"/>
      <c r="O279" s="28" t="s">
        <v>130</v>
      </c>
      <c r="P279" s="28" t="str">
        <f t="shared" si="13"/>
        <v/>
      </c>
      <c r="Q279" s="29">
        <v>5</v>
      </c>
      <c r="R279" s="29">
        <v>37</v>
      </c>
      <c r="S279" s="28"/>
      <c r="T279" s="30" t="str">
        <f>_xlfn.CONCAT(Table5[[#This Row],[OrderID]]," | ",Table5[[#This Row],[City]]," | ",Table5[[#This Row],[ItemName]])</f>
        <v>ORD-1275 | Pokhara | French Fries</v>
      </c>
      <c r="U279" s="30" t="str">
        <f>UPPER(Table5[[#This Row],[City]])</f>
        <v>POKHARA</v>
      </c>
      <c r="V279" s="30" t="str">
        <f>LOWER(Table5[[#This Row],[PaymentMethod]])</f>
        <v>khalti</v>
      </c>
      <c r="W279" s="30" cm="1">
        <f t="array" ref="W279">_xlfn.XLOOKUP(TRIM(Table5[[#This Row],[ItemName]]), TRIM(Menu_Price_List_tbl[ItemName]),Menu_Price_List_tbl[UnitPrice_NPR])</f>
        <v>160</v>
      </c>
      <c r="X279" s="31">
        <f t="shared" si="14"/>
        <v>160</v>
      </c>
      <c r="Y279" s="30">
        <f>_xlfn.XLOOKUP(Table5[[#This Row],[City]],City_Delivery_Fee_tbl[City],City_Delivery_Fee_tbl[BaseDeliveryFee_NPR])</f>
        <v>70</v>
      </c>
      <c r="Z27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79" s="31">
        <f>Table5[[#This Row],[Order Amount]]+Table5[[#This Row],[Delivery Fee]]-Table5[[#This Row],[Discount Amount]]</f>
        <v>230</v>
      </c>
      <c r="AB279" s="30" t="str">
        <f>_xlfn.XLOOKUP(Table5[[#This Row],[RiderID]], Rider_Directory!$F$2:$F$26, Rider_Directory!$B$2:$B$26)</f>
        <v>Pokhara</v>
      </c>
      <c r="AC279" s="30" t="str" cm="1">
        <f t="array" ref="AC279">_xlfn.IFS(Table5[[#This Row],[Final Amount]]&lt;500, "Small", Table5[[#This Row],[Final Amount]]&lt;=1000, "Medium", Table5[[#This Row],[Final Amount]]&gt;1000, "Large")</f>
        <v>Small</v>
      </c>
      <c r="AD279" s="30" t="str">
        <f>_xlfn.LET(_xlpm.expiry,_xlfn.XLOOKUP(Table5[[#This Row],[PromoCode]],Promo_Codes!$A$2:$A$9,Promo_Codes!$F$2:$F$9,DATE(2099,1,1)),IF(Table5[[#This Row],[OrderDate]]&gt;_xlpm.expiry,"Expired Code Used","Valid"))</f>
        <v>Valid</v>
      </c>
    </row>
    <row r="280" spans="1:30" x14ac:dyDescent="0.3">
      <c r="A280" s="28" t="s">
        <v>486</v>
      </c>
      <c r="B280" s="27">
        <v>46027</v>
      </c>
      <c r="C280" s="28" t="s">
        <v>487</v>
      </c>
      <c r="D280" s="28" t="s">
        <v>1184</v>
      </c>
      <c r="E280" s="27">
        <v>45918</v>
      </c>
      <c r="F280" s="27" t="str">
        <f t="shared" si="12"/>
        <v>Returning</v>
      </c>
      <c r="G280" s="28" t="s">
        <v>206</v>
      </c>
      <c r="H280" s="28" t="s">
        <v>178</v>
      </c>
      <c r="I280" s="28" t="s">
        <v>179</v>
      </c>
      <c r="J280" s="28" t="s">
        <v>180</v>
      </c>
      <c r="K280" s="29">
        <v>1</v>
      </c>
      <c r="L280" s="28" t="s">
        <v>358</v>
      </c>
      <c r="M280" s="28" t="s">
        <v>247</v>
      </c>
      <c r="N280" s="28"/>
      <c r="O280" s="28" t="s">
        <v>130</v>
      </c>
      <c r="P280" s="28" t="str">
        <f t="shared" si="13"/>
        <v/>
      </c>
      <c r="Q280" s="29">
        <v>4</v>
      </c>
      <c r="R280" s="29">
        <v>40</v>
      </c>
      <c r="S280" s="28" t="s">
        <v>141</v>
      </c>
      <c r="T280" s="30" t="str">
        <f>_xlfn.CONCAT(Table5[[#This Row],[OrderID]]," | ",Table5[[#This Row],[City]]," | ",Table5[[#This Row],[ItemName]])</f>
        <v>ORD-1276 | Pokhara | Veg Fried Rice</v>
      </c>
      <c r="U280" s="30" t="str">
        <f>UPPER(Table5[[#This Row],[City]])</f>
        <v>POKHARA</v>
      </c>
      <c r="V280" s="30" t="str">
        <f>LOWER(Table5[[#This Row],[PaymentMethod]])</f>
        <v>ime pay</v>
      </c>
      <c r="W280" s="30" cm="1">
        <f t="array" ref="W280">_xlfn.XLOOKUP(TRIM(Table5[[#This Row],[ItemName]]), TRIM(Menu_Price_List_tbl[ItemName]),Menu_Price_List_tbl[UnitPrice_NPR])</f>
        <v>220</v>
      </c>
      <c r="X280" s="31">
        <f t="shared" si="14"/>
        <v>220</v>
      </c>
      <c r="Y280" s="30">
        <f>_xlfn.XLOOKUP(Table5[[#This Row],[City]],City_Delivery_Fee_tbl[City],City_Delivery_Fee_tbl[BaseDeliveryFee_NPR])</f>
        <v>70</v>
      </c>
      <c r="Z28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80" s="31">
        <f>Table5[[#This Row],[Order Amount]]+Table5[[#This Row],[Delivery Fee]]-Table5[[#This Row],[Discount Amount]]</f>
        <v>290</v>
      </c>
      <c r="AB280" s="30" t="str">
        <f>_xlfn.XLOOKUP(Table5[[#This Row],[RiderID]], Rider_Directory!$F$2:$F$26, Rider_Directory!$B$2:$B$26)</f>
        <v>Pokhara</v>
      </c>
      <c r="AC280" s="30" t="str" cm="1">
        <f t="array" ref="AC280">_xlfn.IFS(Table5[[#This Row],[Final Amount]]&lt;500, "Small", Table5[[#This Row],[Final Amount]]&lt;=1000, "Medium", Table5[[#This Row],[Final Amount]]&gt;1000, "Large")</f>
        <v>Small</v>
      </c>
      <c r="AD280" s="30" t="str">
        <f>_xlfn.LET(_xlpm.expiry,_xlfn.XLOOKUP(Table5[[#This Row],[PromoCode]],Promo_Codes!$A$2:$A$9,Promo_Codes!$F$2:$F$9,DATE(2099,1,1)),IF(Table5[[#This Row],[OrderDate]]&gt;_xlpm.expiry,"Expired Code Used","Valid"))</f>
        <v>Valid</v>
      </c>
    </row>
    <row r="281" spans="1:30" x14ac:dyDescent="0.3">
      <c r="A281" s="28" t="s">
        <v>132</v>
      </c>
      <c r="B281" s="27">
        <v>46028</v>
      </c>
      <c r="C281" s="28" t="s">
        <v>1157</v>
      </c>
      <c r="D281" s="28" t="s">
        <v>1160</v>
      </c>
      <c r="E281" s="27">
        <v>45994</v>
      </c>
      <c r="F281" s="27" t="str">
        <f t="shared" si="12"/>
        <v>Returning</v>
      </c>
      <c r="G281" s="28" t="s">
        <v>135</v>
      </c>
      <c r="H281" s="28" t="s">
        <v>136</v>
      </c>
      <c r="I281" s="28" t="s">
        <v>137</v>
      </c>
      <c r="J281" s="28" t="s">
        <v>138</v>
      </c>
      <c r="K281" s="29">
        <v>1</v>
      </c>
      <c r="L281" s="28" t="s">
        <v>139</v>
      </c>
      <c r="M281" s="28" t="s">
        <v>140</v>
      </c>
      <c r="N281" s="28"/>
      <c r="O281" s="28" t="s">
        <v>130</v>
      </c>
      <c r="P281" s="28" t="str">
        <f t="shared" si="13"/>
        <v/>
      </c>
      <c r="Q281" s="29">
        <v>4</v>
      </c>
      <c r="R281" s="29">
        <v>20</v>
      </c>
      <c r="S281" s="28" t="s">
        <v>141</v>
      </c>
      <c r="T281" s="30" t="str">
        <f>_xlfn.CONCAT(Table5[[#This Row],[OrderID]]," | ",Table5[[#This Row],[City]]," | ",Table5[[#This Row],[ItemName]])</f>
        <v>ORD-1277 | Kathmandu | Chicken Thakali Set</v>
      </c>
      <c r="U281" s="30" t="str">
        <f>UPPER(Table5[[#This Row],[City]])</f>
        <v>KATHMANDU</v>
      </c>
      <c r="V281" s="30" t="str">
        <f>LOWER(Table5[[#This Row],[PaymentMethod]])</f>
        <v>cash on delivery</v>
      </c>
      <c r="W281" s="30" cm="1">
        <f t="array" ref="W281">_xlfn.XLOOKUP(TRIM(Table5[[#This Row],[ItemName]]), TRIM(Menu_Price_List_tbl[ItemName]),Menu_Price_List_tbl[UnitPrice_NPR])</f>
        <v>480</v>
      </c>
      <c r="X281" s="31">
        <f t="shared" si="14"/>
        <v>480</v>
      </c>
      <c r="Y281" s="30">
        <f>_xlfn.XLOOKUP(Table5[[#This Row],[City]],City_Delivery_Fee_tbl[City],City_Delivery_Fee_tbl[BaseDeliveryFee_NPR])</f>
        <v>50</v>
      </c>
      <c r="Z28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81" s="31">
        <f>Table5[[#This Row],[Order Amount]]+Table5[[#This Row],[Delivery Fee]]-Table5[[#This Row],[Discount Amount]]</f>
        <v>530</v>
      </c>
      <c r="AB281" s="30" t="str">
        <f>_xlfn.XLOOKUP(Table5[[#This Row],[RiderID]], Rider_Directory!$F$2:$F$26, Rider_Directory!$B$2:$B$26)</f>
        <v>Kathmandu</v>
      </c>
      <c r="AC281" s="30" t="str" cm="1">
        <f t="array" ref="AC281">_xlfn.IFS(Table5[[#This Row],[Final Amount]]&lt;500, "Small", Table5[[#This Row],[Final Amount]]&lt;=1000, "Medium", Table5[[#This Row],[Final Amount]]&gt;1000, "Large")</f>
        <v>Medium</v>
      </c>
      <c r="AD281" s="30" t="str">
        <f>_xlfn.LET(_xlpm.expiry,_xlfn.XLOOKUP(Table5[[#This Row],[PromoCode]],Promo_Codes!$A$2:$A$9,Promo_Codes!$F$2:$F$9,DATE(2099,1,1)),IF(Table5[[#This Row],[OrderDate]]&gt;_xlpm.expiry,"Expired Code Used","Valid"))</f>
        <v>Valid</v>
      </c>
    </row>
    <row r="282" spans="1:30" x14ac:dyDescent="0.3">
      <c r="A282" s="28" t="s">
        <v>768</v>
      </c>
      <c r="B282" s="27">
        <v>46028</v>
      </c>
      <c r="C282" s="28" t="s">
        <v>121</v>
      </c>
      <c r="D282" s="28" t="s">
        <v>1159</v>
      </c>
      <c r="E282" s="27">
        <v>45955</v>
      </c>
      <c r="F282" s="27" t="str">
        <f t="shared" si="12"/>
        <v>Returning</v>
      </c>
      <c r="G282" s="28" t="s">
        <v>123</v>
      </c>
      <c r="H282" s="28" t="s">
        <v>216</v>
      </c>
      <c r="I282" s="28" t="s">
        <v>125</v>
      </c>
      <c r="J282" s="28" t="s">
        <v>295</v>
      </c>
      <c r="K282" s="29">
        <v>3</v>
      </c>
      <c r="L282" s="28" t="s">
        <v>290</v>
      </c>
      <c r="M282" s="28" t="s">
        <v>247</v>
      </c>
      <c r="N282" s="28" t="s">
        <v>336</v>
      </c>
      <c r="O282" s="28" t="s">
        <v>279</v>
      </c>
      <c r="P282" s="28" t="str">
        <f t="shared" si="13"/>
        <v/>
      </c>
      <c r="Q282" s="28"/>
      <c r="R282" s="29">
        <v>67</v>
      </c>
      <c r="S282" s="28" t="s">
        <v>280</v>
      </c>
      <c r="T282" s="30" t="str">
        <f>_xlfn.CONCAT(Table5[[#This Row],[OrderID]]," | ",Table5[[#This Row],[City]]," | ",Table5[[#This Row],[ItemName]])</f>
        <v>ORD-1278 | Biratnagar | Sukuti Sandheko</v>
      </c>
      <c r="U282" s="30" t="str">
        <f>UPPER(Table5[[#This Row],[City]])</f>
        <v>BIRATNAGAR</v>
      </c>
      <c r="V282" s="30" t="str">
        <f>LOWER(Table5[[#This Row],[PaymentMethod]])</f>
        <v>ime pay</v>
      </c>
      <c r="W282" s="30" cm="1">
        <f t="array" ref="W282">_xlfn.XLOOKUP(TRIM(Table5[[#This Row],[ItemName]]), TRIM(Menu_Price_List_tbl[ItemName]),Menu_Price_List_tbl[UnitPrice_NPR])</f>
        <v>350</v>
      </c>
      <c r="X282" s="31">
        <f t="shared" si="14"/>
        <v>1050</v>
      </c>
      <c r="Y282" s="30">
        <f>_xlfn.XLOOKUP(Table5[[#This Row],[City]],City_Delivery_Fee_tbl[City],City_Delivery_Fee_tbl[BaseDeliveryFee_NPR])</f>
        <v>90</v>
      </c>
      <c r="Z28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282" s="31">
        <f>Table5[[#This Row],[Order Amount]]+Table5[[#This Row],[Delivery Fee]]-Table5[[#This Row],[Discount Amount]]</f>
        <v>1090</v>
      </c>
      <c r="AB282" s="30" t="str">
        <f>_xlfn.XLOOKUP(Table5[[#This Row],[RiderID]], Rider_Directory!$F$2:$F$26, Rider_Directory!$B$2:$B$26)</f>
        <v>Biratnagar</v>
      </c>
      <c r="AC282" s="30" t="str" cm="1">
        <f t="array" ref="AC282">_xlfn.IFS(Table5[[#This Row],[Final Amount]]&lt;500, "Small", Table5[[#This Row],[Final Amount]]&lt;=1000, "Medium", Table5[[#This Row],[Final Amount]]&gt;1000, "Large")</f>
        <v>Large</v>
      </c>
      <c r="AD282" s="30" t="str">
        <f>_xlfn.LET(_xlpm.expiry,_xlfn.XLOOKUP(Table5[[#This Row],[PromoCode]],Promo_Codes!$A$2:$A$9,Promo_Codes!$F$2:$F$9,DATE(2099,1,1)),IF(Table5[[#This Row],[OrderDate]]&gt;_xlpm.expiry,"Expired Code Used","Valid"))</f>
        <v>Valid</v>
      </c>
    </row>
    <row r="283" spans="1:30" x14ac:dyDescent="0.3">
      <c r="A283" s="28" t="s">
        <v>874</v>
      </c>
      <c r="B283" s="27"/>
      <c r="C283" s="28" t="s">
        <v>857</v>
      </c>
      <c r="D283" s="28" t="s">
        <v>1273</v>
      </c>
      <c r="E283" s="27">
        <v>45963</v>
      </c>
      <c r="F283" s="27" t="str">
        <f t="shared" si="12"/>
        <v>New</v>
      </c>
      <c r="G283" s="28" t="s">
        <v>123</v>
      </c>
      <c r="H283" s="28" t="s">
        <v>199</v>
      </c>
      <c r="I283" s="28" t="s">
        <v>179</v>
      </c>
      <c r="J283" s="28" t="s">
        <v>297</v>
      </c>
      <c r="K283" s="29">
        <v>3</v>
      </c>
      <c r="L283" s="28" t="s">
        <v>166</v>
      </c>
      <c r="M283" s="28" t="s">
        <v>159</v>
      </c>
      <c r="N283" s="28"/>
      <c r="O283" s="28" t="s">
        <v>130</v>
      </c>
      <c r="P283" s="28" t="str">
        <f t="shared" si="13"/>
        <v/>
      </c>
      <c r="Q283" s="29">
        <v>5</v>
      </c>
      <c r="R283" s="29">
        <v>41</v>
      </c>
      <c r="S283" s="28"/>
      <c r="T283" s="30" t="str">
        <f>_xlfn.CONCAT(Table5[[#This Row],[OrderID]]," | ",Table5[[#This Row],[City]]," | ",Table5[[#This Row],[ItemName]])</f>
        <v>ORD-1279 | Biratnagar | Chicken Chowmein</v>
      </c>
      <c r="U283" s="30" t="str">
        <f>UPPER(Table5[[#This Row],[City]])</f>
        <v>BIRATNAGAR</v>
      </c>
      <c r="V283" s="30" t="str">
        <f>LOWER(Table5[[#This Row],[PaymentMethod]])</f>
        <v>khalti</v>
      </c>
      <c r="W283" s="30" cm="1">
        <f t="array" ref="W283">_xlfn.XLOOKUP(TRIM(Table5[[#This Row],[ItemName]]), TRIM(Menu_Price_List_tbl[ItemName]),Menu_Price_List_tbl[UnitPrice_NPR])</f>
        <v>250</v>
      </c>
      <c r="X283" s="31">
        <f t="shared" si="14"/>
        <v>750</v>
      </c>
      <c r="Y283" s="30">
        <f>_xlfn.XLOOKUP(Table5[[#This Row],[City]],City_Delivery_Fee_tbl[City],City_Delivery_Fee_tbl[BaseDeliveryFee_NPR])</f>
        <v>90</v>
      </c>
      <c r="Z28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83" s="31">
        <f>Table5[[#This Row],[Order Amount]]+Table5[[#This Row],[Delivery Fee]]-Table5[[#This Row],[Discount Amount]]</f>
        <v>840</v>
      </c>
      <c r="AB283" s="30" t="str">
        <f>_xlfn.XLOOKUP(Table5[[#This Row],[RiderID]], Rider_Directory!$F$2:$F$26, Rider_Directory!$B$2:$B$26)</f>
        <v>Biratnagar</v>
      </c>
      <c r="AC283" s="30" t="str" cm="1">
        <f t="array" ref="AC283">_xlfn.IFS(Table5[[#This Row],[Final Amount]]&lt;500, "Small", Table5[[#This Row],[Final Amount]]&lt;=1000, "Medium", Table5[[#This Row],[Final Amount]]&gt;1000, "Large")</f>
        <v>Medium</v>
      </c>
      <c r="AD283" s="30" t="str">
        <f>_xlfn.LET(_xlpm.expiry,_xlfn.XLOOKUP(Table5[[#This Row],[PromoCode]],Promo_Codes!$A$2:$A$9,Promo_Codes!$F$2:$F$9,DATE(2099,1,1)),IF(Table5[[#This Row],[OrderDate]]&gt;_xlpm.expiry,"Expired Code Used","Valid"))</f>
        <v>Valid</v>
      </c>
    </row>
    <row r="284" spans="1:30" x14ac:dyDescent="0.3">
      <c r="A284" s="28" t="s">
        <v>390</v>
      </c>
      <c r="B284" s="27">
        <v>46029</v>
      </c>
      <c r="C284" s="28" t="s">
        <v>672</v>
      </c>
      <c r="D284" s="28" t="s">
        <v>1201</v>
      </c>
      <c r="E284" s="27">
        <v>45947</v>
      </c>
      <c r="F284" s="27" t="str">
        <f t="shared" si="12"/>
        <v>Returning</v>
      </c>
      <c r="G284" s="28" t="s">
        <v>123</v>
      </c>
      <c r="H284" s="28" t="s">
        <v>163</v>
      </c>
      <c r="I284" s="28" t="s">
        <v>164</v>
      </c>
      <c r="J284" s="28" t="s">
        <v>393</v>
      </c>
      <c r="K284" s="29">
        <v>2</v>
      </c>
      <c r="L284" s="28" t="s">
        <v>127</v>
      </c>
      <c r="M284" s="28" t="s">
        <v>128</v>
      </c>
      <c r="N284" s="28" t="s">
        <v>240</v>
      </c>
      <c r="O284" s="28" t="s">
        <v>235</v>
      </c>
      <c r="P284" s="28" t="str">
        <f t="shared" si="13"/>
        <v/>
      </c>
      <c r="Q284" s="28"/>
      <c r="R284" s="29">
        <v>34</v>
      </c>
      <c r="S284" s="28"/>
      <c r="T284" s="30" t="str">
        <f>_xlfn.CONCAT(Table5[[#This Row],[OrderID]]," | ",Table5[[#This Row],[City]]," | ",Table5[[#This Row],[ItemName]])</f>
        <v>ORD-1280 | Biratnagar | Lemon Soda</v>
      </c>
      <c r="U284" s="30" t="str">
        <f>UPPER(Table5[[#This Row],[City]])</f>
        <v>BIRATNAGAR</v>
      </c>
      <c r="V284" s="30" t="str">
        <f>LOWER(Table5[[#This Row],[PaymentMethod]])</f>
        <v>esewa</v>
      </c>
      <c r="W284" s="30" cm="1">
        <f t="array" ref="W284">_xlfn.XLOOKUP(TRIM(Table5[[#This Row],[ItemName]]), TRIM(Menu_Price_List_tbl[ItemName]),Menu_Price_List_tbl[UnitPrice_NPR])</f>
        <v>100</v>
      </c>
      <c r="X284" s="31">
        <f t="shared" si="14"/>
        <v>200</v>
      </c>
      <c r="Y284" s="30">
        <f>_xlfn.XLOOKUP(Table5[[#This Row],[City]],City_Delivery_Fee_tbl[City],City_Delivery_Fee_tbl[BaseDeliveryFee_NPR])</f>
        <v>90</v>
      </c>
      <c r="Z28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40</v>
      </c>
      <c r="AA284" s="31">
        <f>Table5[[#This Row],[Order Amount]]+Table5[[#This Row],[Delivery Fee]]-Table5[[#This Row],[Discount Amount]]</f>
        <v>250</v>
      </c>
      <c r="AB284" s="30" t="str">
        <f>_xlfn.XLOOKUP(Table5[[#This Row],[RiderID]], Rider_Directory!$F$2:$F$26, Rider_Directory!$B$2:$B$26)</f>
        <v>Biratnagar</v>
      </c>
      <c r="AC284" s="30" t="str" cm="1">
        <f t="array" ref="AC284">_xlfn.IFS(Table5[[#This Row],[Final Amount]]&lt;500, "Small", Table5[[#This Row],[Final Amount]]&lt;=1000, "Medium", Table5[[#This Row],[Final Amount]]&gt;1000, "Large")</f>
        <v>Small</v>
      </c>
      <c r="AD284" s="30" t="str">
        <f>_xlfn.LET(_xlpm.expiry,_xlfn.XLOOKUP(Table5[[#This Row],[PromoCode]],Promo_Codes!$A$2:$A$9,Promo_Codes!$F$2:$F$9,DATE(2099,1,1)),IF(Table5[[#This Row],[OrderDate]]&gt;_xlpm.expiry,"Expired Code Used","Valid"))</f>
        <v>Valid</v>
      </c>
    </row>
    <row r="285" spans="1:30" x14ac:dyDescent="0.3">
      <c r="A285" s="28" t="s">
        <v>506</v>
      </c>
      <c r="B285" s="27">
        <v>46030</v>
      </c>
      <c r="C285" s="28" t="s">
        <v>988</v>
      </c>
      <c r="D285" s="28" t="s">
        <v>1224</v>
      </c>
      <c r="E285" s="27">
        <v>45701</v>
      </c>
      <c r="F285" s="27" t="str">
        <f t="shared" si="12"/>
        <v>Returning</v>
      </c>
      <c r="G285" s="28" t="s">
        <v>135</v>
      </c>
      <c r="H285" s="28" t="s">
        <v>288</v>
      </c>
      <c r="I285" s="28" t="s">
        <v>156</v>
      </c>
      <c r="J285" s="28" t="s">
        <v>389</v>
      </c>
      <c r="K285" s="29">
        <v>1</v>
      </c>
      <c r="L285" s="28" t="s">
        <v>139</v>
      </c>
      <c r="M285" s="28" t="s">
        <v>247</v>
      </c>
      <c r="N285" s="28"/>
      <c r="O285" s="28" t="s">
        <v>130</v>
      </c>
      <c r="P285" s="28" t="str">
        <f t="shared" si="13"/>
        <v/>
      </c>
      <c r="Q285" s="29">
        <v>4</v>
      </c>
      <c r="R285" s="29">
        <v>35</v>
      </c>
      <c r="S285" s="28"/>
      <c r="T285" s="30" t="str">
        <f>_xlfn.CONCAT(Table5[[#This Row],[OrderID]]," | ",Table5[[#This Row],[City]]," | ",Table5[[#This Row],[ItemName]])</f>
        <v>ORD-1281 | Kathmandu | Veg Chopsuey</v>
      </c>
      <c r="U285" s="30" t="str">
        <f>UPPER(Table5[[#This Row],[City]])</f>
        <v>KATHMANDU</v>
      </c>
      <c r="V285" s="30" t="str">
        <f>LOWER(Table5[[#This Row],[PaymentMethod]])</f>
        <v>ime pay</v>
      </c>
      <c r="W285" s="30" cm="1">
        <f t="array" ref="W285">_xlfn.XLOOKUP(TRIM(Table5[[#This Row],[ItemName]]), TRIM(Menu_Price_List_tbl[ItemName]),Menu_Price_List_tbl[UnitPrice_NPR])</f>
        <v>260</v>
      </c>
      <c r="X285" s="31">
        <f t="shared" si="14"/>
        <v>260</v>
      </c>
      <c r="Y285" s="30">
        <f>_xlfn.XLOOKUP(Table5[[#This Row],[City]],City_Delivery_Fee_tbl[City],City_Delivery_Fee_tbl[BaseDeliveryFee_NPR])</f>
        <v>50</v>
      </c>
      <c r="Z28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85" s="31">
        <f>Table5[[#This Row],[Order Amount]]+Table5[[#This Row],[Delivery Fee]]-Table5[[#This Row],[Discount Amount]]</f>
        <v>310</v>
      </c>
      <c r="AB285" s="30" t="str">
        <f>_xlfn.XLOOKUP(Table5[[#This Row],[RiderID]], Rider_Directory!$F$2:$F$26, Rider_Directory!$B$2:$B$26)</f>
        <v>Kathmandu</v>
      </c>
      <c r="AC285" s="30" t="str" cm="1">
        <f t="array" ref="AC285">_xlfn.IFS(Table5[[#This Row],[Final Amount]]&lt;500, "Small", Table5[[#This Row],[Final Amount]]&lt;=1000, "Medium", Table5[[#This Row],[Final Amount]]&gt;1000, "Large")</f>
        <v>Small</v>
      </c>
      <c r="AD285" s="30" t="str">
        <f>_xlfn.LET(_xlpm.expiry,_xlfn.XLOOKUP(Table5[[#This Row],[PromoCode]],Promo_Codes!$A$2:$A$9,Promo_Codes!$F$2:$F$9,DATE(2099,1,1)),IF(Table5[[#This Row],[OrderDate]]&gt;_xlpm.expiry,"Expired Code Used","Valid"))</f>
        <v>Valid</v>
      </c>
    </row>
    <row r="286" spans="1:30" x14ac:dyDescent="0.3">
      <c r="A286" s="28" t="s">
        <v>757</v>
      </c>
      <c r="B286" s="27">
        <v>46031</v>
      </c>
      <c r="C286" s="28" t="s">
        <v>143</v>
      </c>
      <c r="D286" s="28" t="s">
        <v>1161</v>
      </c>
      <c r="E286" s="27">
        <v>46030</v>
      </c>
      <c r="F286" s="27" t="str">
        <f t="shared" si="12"/>
        <v>New</v>
      </c>
      <c r="G286" s="28" t="s">
        <v>206</v>
      </c>
      <c r="H286" s="28" t="s">
        <v>136</v>
      </c>
      <c r="I286" s="28" t="s">
        <v>137</v>
      </c>
      <c r="J286" s="28" t="s">
        <v>759</v>
      </c>
      <c r="K286" s="29">
        <v>1</v>
      </c>
      <c r="L286" s="28" t="s">
        <v>208</v>
      </c>
      <c r="M286" s="28" t="s">
        <v>278</v>
      </c>
      <c r="N286" s="28"/>
      <c r="O286" s="28" t="s">
        <v>130</v>
      </c>
      <c r="P286" s="28" t="str">
        <f t="shared" si="13"/>
        <v/>
      </c>
      <c r="Q286" s="29">
        <v>5</v>
      </c>
      <c r="R286" s="29">
        <v>45</v>
      </c>
      <c r="S286" s="28" t="s">
        <v>302</v>
      </c>
      <c r="T286" s="30" t="str">
        <f>_xlfn.CONCAT(Table5[[#This Row],[OrderID]]," | ",Table5[[#This Row],[City]]," | ",Table5[[#This Row],[ItemName]])</f>
        <v xml:space="preserve">ORD-1282 | Pokhara | Mutton Thakali Set  </v>
      </c>
      <c r="U286" s="30" t="str">
        <f>UPPER(Table5[[#This Row],[City]])</f>
        <v>POKHARA</v>
      </c>
      <c r="V286" s="30" t="str">
        <f>LOWER(Table5[[#This Row],[PaymentMethod]])</f>
        <v>connectips</v>
      </c>
      <c r="W286" s="30" cm="1">
        <f t="array" ref="W286">_xlfn.XLOOKUP(TRIM(Table5[[#This Row],[ItemName]]), TRIM(Menu_Price_List_tbl[ItemName]),Menu_Price_List_tbl[UnitPrice_NPR])</f>
        <v>650</v>
      </c>
      <c r="X286" s="31">
        <f t="shared" si="14"/>
        <v>650</v>
      </c>
      <c r="Y286" s="30">
        <f>_xlfn.XLOOKUP(Table5[[#This Row],[City]],City_Delivery_Fee_tbl[City],City_Delivery_Fee_tbl[BaseDeliveryFee_NPR])</f>
        <v>70</v>
      </c>
      <c r="Z28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86" s="31">
        <f>Table5[[#This Row],[Order Amount]]+Table5[[#This Row],[Delivery Fee]]-Table5[[#This Row],[Discount Amount]]</f>
        <v>720</v>
      </c>
      <c r="AB286" s="30" t="str">
        <f>_xlfn.XLOOKUP(Table5[[#This Row],[RiderID]], Rider_Directory!$F$2:$F$26, Rider_Directory!$B$2:$B$26)</f>
        <v>Pokhara</v>
      </c>
      <c r="AC286" s="30" t="str" cm="1">
        <f t="array" ref="AC286">_xlfn.IFS(Table5[[#This Row],[Final Amount]]&lt;500, "Small", Table5[[#This Row],[Final Amount]]&lt;=1000, "Medium", Table5[[#This Row],[Final Amount]]&gt;1000, "Large")</f>
        <v>Medium</v>
      </c>
      <c r="AD286" s="30" t="str">
        <f>_xlfn.LET(_xlpm.expiry,_xlfn.XLOOKUP(Table5[[#This Row],[PromoCode]],Promo_Codes!$A$2:$A$9,Promo_Codes!$F$2:$F$9,DATE(2099,1,1)),IF(Table5[[#This Row],[OrderDate]]&gt;_xlpm.expiry,"Expired Code Used","Valid"))</f>
        <v>Valid</v>
      </c>
    </row>
    <row r="287" spans="1:30" x14ac:dyDescent="0.3">
      <c r="A287" s="28" t="s">
        <v>522</v>
      </c>
      <c r="B287" s="27">
        <v>46032</v>
      </c>
      <c r="C287" s="28" t="s">
        <v>361</v>
      </c>
      <c r="D287" s="28" t="s">
        <v>1195</v>
      </c>
      <c r="E287" s="27">
        <v>45963</v>
      </c>
      <c r="F287" s="27" t="str">
        <f t="shared" si="12"/>
        <v>Returning</v>
      </c>
      <c r="G287" s="28" t="s">
        <v>145</v>
      </c>
      <c r="H287" s="28" t="s">
        <v>155</v>
      </c>
      <c r="I287" s="28" t="s">
        <v>156</v>
      </c>
      <c r="J287" s="28" t="s">
        <v>306</v>
      </c>
      <c r="K287" s="29">
        <v>1</v>
      </c>
      <c r="L287" s="28" t="s">
        <v>149</v>
      </c>
      <c r="M287" s="28" t="s">
        <v>128</v>
      </c>
      <c r="N287" s="28"/>
      <c r="O287" s="28" t="s">
        <v>279</v>
      </c>
      <c r="P287" s="28" t="str">
        <f t="shared" si="13"/>
        <v/>
      </c>
      <c r="Q287" s="28"/>
      <c r="R287" s="29">
        <v>41</v>
      </c>
      <c r="S287" s="28" t="s">
        <v>284</v>
      </c>
      <c r="T287" s="30" t="str">
        <f>_xlfn.CONCAT(Table5[[#This Row],[OrderID]]," | ",Table5[[#This Row],[City]]," | ",Table5[[#This Row],[ItemName]])</f>
        <v>ORD-1283 | Chitwan | chicken fried rice</v>
      </c>
      <c r="U287" s="30" t="str">
        <f>UPPER(Table5[[#This Row],[City]])</f>
        <v>CHITWAN</v>
      </c>
      <c r="V287" s="30" t="str">
        <f>LOWER(Table5[[#This Row],[PaymentMethod]])</f>
        <v>esewa</v>
      </c>
      <c r="W287" s="30" cm="1">
        <f t="array" ref="W287">_xlfn.XLOOKUP(TRIM(Table5[[#This Row],[ItemName]]), TRIM(Menu_Price_List_tbl[ItemName]),Menu_Price_List_tbl[UnitPrice_NPR])</f>
        <v>260</v>
      </c>
      <c r="X287" s="31">
        <f t="shared" si="14"/>
        <v>260</v>
      </c>
      <c r="Y287" s="30">
        <f>_xlfn.XLOOKUP(Table5[[#This Row],[City]],City_Delivery_Fee_tbl[City],City_Delivery_Fee_tbl[BaseDeliveryFee_NPR])</f>
        <v>80</v>
      </c>
      <c r="Z28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87" s="31">
        <f>Table5[[#This Row],[Order Amount]]+Table5[[#This Row],[Delivery Fee]]-Table5[[#This Row],[Discount Amount]]</f>
        <v>340</v>
      </c>
      <c r="AB287" s="30" t="str">
        <f>_xlfn.XLOOKUP(Table5[[#This Row],[RiderID]], Rider_Directory!$F$2:$F$26, Rider_Directory!$B$2:$B$26)</f>
        <v>Chitwan</v>
      </c>
      <c r="AC287" s="30" t="str" cm="1">
        <f t="array" ref="AC287">_xlfn.IFS(Table5[[#This Row],[Final Amount]]&lt;500, "Small", Table5[[#This Row],[Final Amount]]&lt;=1000, "Medium", Table5[[#This Row],[Final Amount]]&gt;1000, "Large")</f>
        <v>Small</v>
      </c>
      <c r="AD287" s="30" t="str">
        <f>_xlfn.LET(_xlpm.expiry,_xlfn.XLOOKUP(Table5[[#This Row],[PromoCode]],Promo_Codes!$A$2:$A$9,Promo_Codes!$F$2:$F$9,DATE(2099,1,1)),IF(Table5[[#This Row],[OrderDate]]&gt;_xlpm.expiry,"Expired Code Used","Valid"))</f>
        <v>Valid</v>
      </c>
    </row>
    <row r="288" spans="1:30" x14ac:dyDescent="0.3">
      <c r="A288" s="28" t="s">
        <v>503</v>
      </c>
      <c r="B288" s="27">
        <v>46032</v>
      </c>
      <c r="C288" s="28" t="s">
        <v>1133</v>
      </c>
      <c r="D288" s="28" t="s">
        <v>1223</v>
      </c>
      <c r="E288" s="27">
        <v>45959</v>
      </c>
      <c r="F288" s="27" t="str">
        <f t="shared" si="12"/>
        <v>Returning</v>
      </c>
      <c r="G288" s="28" t="s">
        <v>145</v>
      </c>
      <c r="H288" s="28" t="s">
        <v>124</v>
      </c>
      <c r="I288" s="28" t="s">
        <v>125</v>
      </c>
      <c r="J288" s="28" t="s">
        <v>295</v>
      </c>
      <c r="K288" s="29">
        <v>2</v>
      </c>
      <c r="L288" s="28" t="s">
        <v>149</v>
      </c>
      <c r="M288" s="28" t="s">
        <v>247</v>
      </c>
      <c r="N288" s="28"/>
      <c r="O288" s="28" t="s">
        <v>130</v>
      </c>
      <c r="P288" s="28" t="str">
        <f t="shared" si="13"/>
        <v/>
      </c>
      <c r="Q288" s="29">
        <v>4</v>
      </c>
      <c r="R288" s="29">
        <v>45</v>
      </c>
      <c r="S288" s="28"/>
      <c r="T288" s="30" t="str">
        <f>_xlfn.CONCAT(Table5[[#This Row],[OrderID]]," | ",Table5[[#This Row],[City]]," | ",Table5[[#This Row],[ItemName]])</f>
        <v>ORD-1284 | Chitwan | Sukuti Sandheko</v>
      </c>
      <c r="U288" s="30" t="str">
        <f>UPPER(Table5[[#This Row],[City]])</f>
        <v>CHITWAN</v>
      </c>
      <c r="V288" s="30" t="str">
        <f>LOWER(Table5[[#This Row],[PaymentMethod]])</f>
        <v>ime pay</v>
      </c>
      <c r="W288" s="30" cm="1">
        <f t="array" ref="W288">_xlfn.XLOOKUP(TRIM(Table5[[#This Row],[ItemName]]), TRIM(Menu_Price_List_tbl[ItemName]),Menu_Price_List_tbl[UnitPrice_NPR])</f>
        <v>350</v>
      </c>
      <c r="X288" s="31">
        <f t="shared" si="14"/>
        <v>700</v>
      </c>
      <c r="Y288" s="30">
        <f>_xlfn.XLOOKUP(Table5[[#This Row],[City]],City_Delivery_Fee_tbl[City],City_Delivery_Fee_tbl[BaseDeliveryFee_NPR])</f>
        <v>80</v>
      </c>
      <c r="Z28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88" s="31">
        <f>Table5[[#This Row],[Order Amount]]+Table5[[#This Row],[Delivery Fee]]-Table5[[#This Row],[Discount Amount]]</f>
        <v>780</v>
      </c>
      <c r="AB288" s="30" t="str">
        <f>_xlfn.XLOOKUP(Table5[[#This Row],[RiderID]], Rider_Directory!$F$2:$F$26, Rider_Directory!$B$2:$B$26)</f>
        <v>Chitwan</v>
      </c>
      <c r="AC288" s="30" t="str" cm="1">
        <f t="array" ref="AC288">_xlfn.IFS(Table5[[#This Row],[Final Amount]]&lt;500, "Small", Table5[[#This Row],[Final Amount]]&lt;=1000, "Medium", Table5[[#This Row],[Final Amount]]&gt;1000, "Large")</f>
        <v>Medium</v>
      </c>
      <c r="AD288" s="30" t="str">
        <f>_xlfn.LET(_xlpm.expiry,_xlfn.XLOOKUP(Table5[[#This Row],[PromoCode]],Promo_Codes!$A$2:$A$9,Promo_Codes!$F$2:$F$9,DATE(2099,1,1)),IF(Table5[[#This Row],[OrderDate]]&gt;_xlpm.expiry,"Expired Code Used","Valid"))</f>
        <v>Valid</v>
      </c>
    </row>
    <row r="289" spans="1:30" x14ac:dyDescent="0.3">
      <c r="A289" s="28" t="s">
        <v>871</v>
      </c>
      <c r="B289" s="27">
        <v>46033</v>
      </c>
      <c r="C289" s="28" t="s">
        <v>872</v>
      </c>
      <c r="D289" s="28" t="s">
        <v>1274</v>
      </c>
      <c r="E289" s="27">
        <v>46032</v>
      </c>
      <c r="F289" s="27" t="str">
        <f t="shared" si="12"/>
        <v>New</v>
      </c>
      <c r="G289" s="28" t="s">
        <v>206</v>
      </c>
      <c r="H289" s="28" t="s">
        <v>245</v>
      </c>
      <c r="I289" s="28" t="s">
        <v>233</v>
      </c>
      <c r="J289" s="28" t="s">
        <v>246</v>
      </c>
      <c r="K289" s="29">
        <v>1</v>
      </c>
      <c r="L289" s="28" t="s">
        <v>208</v>
      </c>
      <c r="M289" s="28" t="s">
        <v>140</v>
      </c>
      <c r="N289" s="28"/>
      <c r="O289" s="28" t="s">
        <v>130</v>
      </c>
      <c r="P289" s="28" t="str">
        <f t="shared" si="13"/>
        <v/>
      </c>
      <c r="Q289" s="29">
        <v>3</v>
      </c>
      <c r="R289" s="29">
        <v>41</v>
      </c>
      <c r="S289" s="28"/>
      <c r="T289" s="30" t="str">
        <f>_xlfn.CONCAT(Table5[[#This Row],[OrderID]]," | ",Table5[[#This Row],[City]]," | ",Table5[[#This Row],[ItemName]])</f>
        <v>ORD-1285 | Pokhara | Chicken Momo (Fried)</v>
      </c>
      <c r="U289" s="30" t="str">
        <f>UPPER(Table5[[#This Row],[City]])</f>
        <v>POKHARA</v>
      </c>
      <c r="V289" s="30" t="str">
        <f>LOWER(Table5[[#This Row],[PaymentMethod]])</f>
        <v>cash on delivery</v>
      </c>
      <c r="W289" s="30" cm="1">
        <f t="array" ref="W289">_xlfn.XLOOKUP(TRIM(Table5[[#This Row],[ItemName]]), TRIM(Menu_Price_List_tbl[ItemName]),Menu_Price_List_tbl[UnitPrice_NPR])</f>
        <v>210</v>
      </c>
      <c r="X289" s="31">
        <f t="shared" si="14"/>
        <v>210</v>
      </c>
      <c r="Y289" s="30">
        <f>_xlfn.XLOOKUP(Table5[[#This Row],[City]],City_Delivery_Fee_tbl[City],City_Delivery_Fee_tbl[BaseDeliveryFee_NPR])</f>
        <v>70</v>
      </c>
      <c r="Z28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89" s="31">
        <f>Table5[[#This Row],[Order Amount]]+Table5[[#This Row],[Delivery Fee]]-Table5[[#This Row],[Discount Amount]]</f>
        <v>280</v>
      </c>
      <c r="AB289" s="30" t="str">
        <f>_xlfn.XLOOKUP(Table5[[#This Row],[RiderID]], Rider_Directory!$F$2:$F$26, Rider_Directory!$B$2:$B$26)</f>
        <v>Pokhara</v>
      </c>
      <c r="AC289" s="30" t="str" cm="1">
        <f t="array" ref="AC289">_xlfn.IFS(Table5[[#This Row],[Final Amount]]&lt;500, "Small", Table5[[#This Row],[Final Amount]]&lt;=1000, "Medium", Table5[[#This Row],[Final Amount]]&gt;1000, "Large")</f>
        <v>Small</v>
      </c>
      <c r="AD289" s="30" t="str">
        <f>_xlfn.LET(_xlpm.expiry,_xlfn.XLOOKUP(Table5[[#This Row],[PromoCode]],Promo_Codes!$A$2:$A$9,Promo_Codes!$F$2:$F$9,DATE(2099,1,1)),IF(Table5[[#This Row],[OrderDate]]&gt;_xlpm.expiry,"Expired Code Used","Valid"))</f>
        <v>Valid</v>
      </c>
    </row>
    <row r="290" spans="1:30" x14ac:dyDescent="0.3">
      <c r="A290" s="28" t="s">
        <v>731</v>
      </c>
      <c r="B290" s="27">
        <v>46034</v>
      </c>
      <c r="C290" s="28" t="s">
        <v>1143</v>
      </c>
      <c r="D290" s="28" t="s">
        <v>1257</v>
      </c>
      <c r="E290" s="27">
        <v>45874</v>
      </c>
      <c r="F290" s="27" t="str">
        <f t="shared" si="12"/>
        <v>Returning</v>
      </c>
      <c r="G290" s="28" t="s">
        <v>123</v>
      </c>
      <c r="H290" s="28" t="s">
        <v>178</v>
      </c>
      <c r="I290" s="28" t="s">
        <v>179</v>
      </c>
      <c r="J290" s="28" t="s">
        <v>734</v>
      </c>
      <c r="K290" s="29">
        <v>3</v>
      </c>
      <c r="L290" s="28" t="s">
        <v>166</v>
      </c>
      <c r="M290" s="28" t="s">
        <v>247</v>
      </c>
      <c r="N290" s="28" t="s">
        <v>129</v>
      </c>
      <c r="O290" s="28" t="s">
        <v>130</v>
      </c>
      <c r="P290" s="28" t="str">
        <f t="shared" si="13"/>
        <v/>
      </c>
      <c r="Q290" s="29">
        <v>5</v>
      </c>
      <c r="R290" s="29">
        <v>29</v>
      </c>
      <c r="S290" s="28"/>
      <c r="T290" s="30" t="str">
        <f>_xlfn.CONCAT(Table5[[#This Row],[OrderID]]," | ",Table5[[#This Row],[City]]," | ",Table5[[#This Row],[ItemName]])</f>
        <v xml:space="preserve">ORD-1286 | Biratnagar | Veg Burger  </v>
      </c>
      <c r="U290" s="30" t="str">
        <f>UPPER(Table5[[#This Row],[City]])</f>
        <v>BIRATNAGAR</v>
      </c>
      <c r="V290" s="30" t="str">
        <f>LOWER(Table5[[#This Row],[PaymentMethod]])</f>
        <v>ime pay</v>
      </c>
      <c r="W290" s="30" cm="1">
        <f t="array" ref="W290">_xlfn.XLOOKUP(TRIM(Table5[[#This Row],[ItemName]]), TRIM(Menu_Price_List_tbl[ItemName]),Menu_Price_List_tbl[UnitPrice_NPR])</f>
        <v>220</v>
      </c>
      <c r="X290" s="31">
        <f t="shared" si="14"/>
        <v>660</v>
      </c>
      <c r="Y290" s="30">
        <f>_xlfn.XLOOKUP(Table5[[#This Row],[City]],City_Delivery_Fee_tbl[City],City_Delivery_Fee_tbl[BaseDeliveryFee_NPR])</f>
        <v>90</v>
      </c>
      <c r="Z29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290" s="31">
        <f>Table5[[#This Row],[Order Amount]]+Table5[[#This Row],[Delivery Fee]]-Table5[[#This Row],[Discount Amount]]</f>
        <v>650</v>
      </c>
      <c r="AB290" s="30" t="str">
        <f>_xlfn.XLOOKUP(Table5[[#This Row],[RiderID]], Rider_Directory!$F$2:$F$26, Rider_Directory!$B$2:$B$26)</f>
        <v>Biratnagar</v>
      </c>
      <c r="AC290" s="30" t="str" cm="1">
        <f t="array" ref="AC290">_xlfn.IFS(Table5[[#This Row],[Final Amount]]&lt;500, "Small", Table5[[#This Row],[Final Amount]]&lt;=1000, "Medium", Table5[[#This Row],[Final Amount]]&gt;1000, "Large")</f>
        <v>Medium</v>
      </c>
      <c r="AD290" s="30" t="str">
        <f>_xlfn.LET(_xlpm.expiry,_xlfn.XLOOKUP(Table5[[#This Row],[PromoCode]],Promo_Codes!$A$2:$A$9,Promo_Codes!$F$2:$F$9,DATE(2099,1,1)),IF(Table5[[#This Row],[OrderDate]]&gt;_xlpm.expiry,"Expired Code Used","Valid"))</f>
        <v>Expired Code Used</v>
      </c>
    </row>
    <row r="291" spans="1:30" x14ac:dyDescent="0.3">
      <c r="A291" s="28" t="s">
        <v>777</v>
      </c>
      <c r="B291" s="27">
        <v>46034</v>
      </c>
      <c r="C291" s="28" t="s">
        <v>433</v>
      </c>
      <c r="D291" s="28" t="s">
        <v>1210</v>
      </c>
      <c r="E291" s="27">
        <v>45961</v>
      </c>
      <c r="F291" s="27" t="str">
        <f t="shared" si="12"/>
        <v>Returning</v>
      </c>
      <c r="G291" s="28" t="s">
        <v>170</v>
      </c>
      <c r="H291" s="28" t="s">
        <v>331</v>
      </c>
      <c r="I291" s="28" t="s">
        <v>164</v>
      </c>
      <c r="J291" s="28" t="s">
        <v>521</v>
      </c>
      <c r="K291" s="29">
        <v>2</v>
      </c>
      <c r="L291" s="28" t="s">
        <v>173</v>
      </c>
      <c r="M291" s="28" t="s">
        <v>128</v>
      </c>
      <c r="N291" s="28" t="s">
        <v>336</v>
      </c>
      <c r="O291" s="28" t="s">
        <v>130</v>
      </c>
      <c r="P291" s="28" t="str">
        <f t="shared" si="13"/>
        <v/>
      </c>
      <c r="Q291" s="29">
        <v>3</v>
      </c>
      <c r="R291" s="29">
        <v>52</v>
      </c>
      <c r="S291" s="28" t="s">
        <v>241</v>
      </c>
      <c r="T291" s="30" t="str">
        <f>_xlfn.CONCAT(Table5[[#This Row],[OrderID]]," | ",Table5[[#This Row],[City]]," | ",Table5[[#This Row],[ItemName]])</f>
        <v>ORD-1287 | Butwal | Lassi</v>
      </c>
      <c r="U291" s="30" t="str">
        <f>UPPER(Table5[[#This Row],[City]])</f>
        <v>BUTWAL</v>
      </c>
      <c r="V291" s="30" t="str">
        <f>LOWER(Table5[[#This Row],[PaymentMethod]])</f>
        <v>esewa</v>
      </c>
      <c r="W291" s="30" cm="1">
        <f t="array" ref="W291">_xlfn.XLOOKUP(TRIM(Table5[[#This Row],[ItemName]]), TRIM(Menu_Price_List_tbl[ItemName]),Menu_Price_List_tbl[UnitPrice_NPR])</f>
        <v>130</v>
      </c>
      <c r="X291" s="31">
        <f t="shared" si="14"/>
        <v>260</v>
      </c>
      <c r="Y291" s="30">
        <f>_xlfn.XLOOKUP(Table5[[#This Row],[City]],City_Delivery_Fee_tbl[City],City_Delivery_Fee_tbl[BaseDeliveryFee_NPR])</f>
        <v>85</v>
      </c>
      <c r="Z29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291" s="31">
        <f>Table5[[#This Row],[Order Amount]]+Table5[[#This Row],[Delivery Fee]]-Table5[[#This Row],[Discount Amount]]</f>
        <v>295</v>
      </c>
      <c r="AB291" s="30" t="str">
        <f>_xlfn.XLOOKUP(Table5[[#This Row],[RiderID]], Rider_Directory!$F$2:$F$26, Rider_Directory!$B$2:$B$26)</f>
        <v>Butwal</v>
      </c>
      <c r="AC291" s="30" t="str" cm="1">
        <f t="array" ref="AC291">_xlfn.IFS(Table5[[#This Row],[Final Amount]]&lt;500, "Small", Table5[[#This Row],[Final Amount]]&lt;=1000, "Medium", Table5[[#This Row],[Final Amount]]&gt;1000, "Large")</f>
        <v>Small</v>
      </c>
      <c r="AD291" s="30" t="str">
        <f>_xlfn.LET(_xlpm.expiry,_xlfn.XLOOKUP(Table5[[#This Row],[PromoCode]],Promo_Codes!$A$2:$A$9,Promo_Codes!$F$2:$F$9,DATE(2099,1,1)),IF(Table5[[#This Row],[OrderDate]]&gt;_xlpm.expiry,"Expired Code Used","Valid"))</f>
        <v>Valid</v>
      </c>
    </row>
    <row r="292" spans="1:30" x14ac:dyDescent="0.3">
      <c r="A292" s="28" t="s">
        <v>684</v>
      </c>
      <c r="B292" s="27">
        <v>46035</v>
      </c>
      <c r="C292" s="28" t="s">
        <v>613</v>
      </c>
      <c r="D292" s="28" t="s">
        <v>1239</v>
      </c>
      <c r="E292" s="27">
        <v>45940</v>
      </c>
      <c r="F292" s="27" t="str">
        <f t="shared" si="12"/>
        <v>Returning</v>
      </c>
      <c r="G292" s="28" t="s">
        <v>135</v>
      </c>
      <c r="H292" s="28" t="s">
        <v>136</v>
      </c>
      <c r="I292" s="28" t="s">
        <v>137</v>
      </c>
      <c r="J292" s="28" t="s">
        <v>138</v>
      </c>
      <c r="K292" s="29">
        <v>2</v>
      </c>
      <c r="L292" s="28" t="s">
        <v>223</v>
      </c>
      <c r="M292" s="28" t="s">
        <v>247</v>
      </c>
      <c r="N292" s="28" t="s">
        <v>129</v>
      </c>
      <c r="O292" s="28" t="s">
        <v>130</v>
      </c>
      <c r="P292" s="28" t="str">
        <f t="shared" si="13"/>
        <v/>
      </c>
      <c r="Q292" s="29">
        <v>5</v>
      </c>
      <c r="R292" s="29">
        <v>31</v>
      </c>
      <c r="S292" s="28"/>
      <c r="T292" s="30" t="str">
        <f>_xlfn.CONCAT(Table5[[#This Row],[OrderID]]," | ",Table5[[#This Row],[City]]," | ",Table5[[#This Row],[ItemName]])</f>
        <v>ORD-1288 | Kathmandu | Chicken Thakali Set</v>
      </c>
      <c r="U292" s="30" t="str">
        <f>UPPER(Table5[[#This Row],[City]])</f>
        <v>KATHMANDU</v>
      </c>
      <c r="V292" s="30" t="str">
        <f>LOWER(Table5[[#This Row],[PaymentMethod]])</f>
        <v>ime pay</v>
      </c>
      <c r="W292" s="30" cm="1">
        <f t="array" ref="W292">_xlfn.XLOOKUP(TRIM(Table5[[#This Row],[ItemName]]), TRIM(Menu_Price_List_tbl[ItemName]),Menu_Price_List_tbl[UnitPrice_NPR])</f>
        <v>480</v>
      </c>
      <c r="X292" s="31">
        <f t="shared" si="14"/>
        <v>960</v>
      </c>
      <c r="Y292" s="30">
        <f>_xlfn.XLOOKUP(Table5[[#This Row],[City]],City_Delivery_Fee_tbl[City],City_Delivery_Fee_tbl[BaseDeliveryFee_NPR])</f>
        <v>50</v>
      </c>
      <c r="Z29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292" s="31">
        <f>Table5[[#This Row],[Order Amount]]+Table5[[#This Row],[Delivery Fee]]-Table5[[#This Row],[Discount Amount]]</f>
        <v>910</v>
      </c>
      <c r="AB292" s="30" t="str">
        <f>_xlfn.XLOOKUP(Table5[[#This Row],[RiderID]], Rider_Directory!$F$2:$F$26, Rider_Directory!$B$2:$B$26)</f>
        <v>Kathmandu</v>
      </c>
      <c r="AC292" s="30" t="str" cm="1">
        <f t="array" ref="AC292">_xlfn.IFS(Table5[[#This Row],[Final Amount]]&lt;500, "Small", Table5[[#This Row],[Final Amount]]&lt;=1000, "Medium", Table5[[#This Row],[Final Amount]]&gt;1000, "Large")</f>
        <v>Medium</v>
      </c>
      <c r="AD292" s="30" t="str">
        <f>_xlfn.LET(_xlpm.expiry,_xlfn.XLOOKUP(Table5[[#This Row],[PromoCode]],Promo_Codes!$A$2:$A$9,Promo_Codes!$F$2:$F$9,DATE(2099,1,1)),IF(Table5[[#This Row],[OrderDate]]&gt;_xlpm.expiry,"Expired Code Used","Valid"))</f>
        <v>Expired Code Used</v>
      </c>
    </row>
    <row r="293" spans="1:30" x14ac:dyDescent="0.3">
      <c r="A293" s="28" t="s">
        <v>674</v>
      </c>
      <c r="B293" s="27"/>
      <c r="C293" s="28" t="s">
        <v>1134</v>
      </c>
      <c r="D293" s="28" t="s">
        <v>1230</v>
      </c>
      <c r="E293" s="27">
        <v>45901</v>
      </c>
      <c r="F293" s="27" t="str">
        <f t="shared" si="12"/>
        <v>New</v>
      </c>
      <c r="G293" s="28" t="s">
        <v>135</v>
      </c>
      <c r="H293" s="28" t="s">
        <v>163</v>
      </c>
      <c r="I293" s="28" t="s">
        <v>164</v>
      </c>
      <c r="J293" s="28" t="s">
        <v>393</v>
      </c>
      <c r="K293" s="29">
        <v>1</v>
      </c>
      <c r="L293" s="28" t="s">
        <v>218</v>
      </c>
      <c r="M293" s="28" t="s">
        <v>247</v>
      </c>
      <c r="N293" s="28" t="s">
        <v>255</v>
      </c>
      <c r="O293" s="28" t="s">
        <v>130</v>
      </c>
      <c r="P293" s="28" t="str">
        <f t="shared" si="13"/>
        <v/>
      </c>
      <c r="Q293" s="29">
        <v>3</v>
      </c>
      <c r="R293" s="29">
        <v>34</v>
      </c>
      <c r="S293" s="28"/>
      <c r="T293" s="30" t="str">
        <f>_xlfn.CONCAT(Table5[[#This Row],[OrderID]]," | ",Table5[[#This Row],[City]]," | ",Table5[[#This Row],[ItemName]])</f>
        <v>ORD-1289 | Kathmandu | Lemon Soda</v>
      </c>
      <c r="U293" s="30" t="str">
        <f>UPPER(Table5[[#This Row],[City]])</f>
        <v>KATHMANDU</v>
      </c>
      <c r="V293" s="30" t="str">
        <f>LOWER(Table5[[#This Row],[PaymentMethod]])</f>
        <v>ime pay</v>
      </c>
      <c r="W293" s="30" cm="1">
        <f t="array" ref="W293">_xlfn.XLOOKUP(TRIM(Table5[[#This Row],[ItemName]]), TRIM(Menu_Price_List_tbl[ItemName]),Menu_Price_List_tbl[UnitPrice_NPR])</f>
        <v>100</v>
      </c>
      <c r="X293" s="31">
        <f t="shared" si="14"/>
        <v>100</v>
      </c>
      <c r="Y293" s="30">
        <f>_xlfn.XLOOKUP(Table5[[#This Row],[City]],City_Delivery_Fee_tbl[City],City_Delivery_Fee_tbl[BaseDeliveryFee_NPR])</f>
        <v>50</v>
      </c>
      <c r="Z29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v>
      </c>
      <c r="AA293" s="31">
        <f>Table5[[#This Row],[Order Amount]]+Table5[[#This Row],[Delivery Fee]]-Table5[[#This Row],[Discount Amount]]</f>
        <v>140</v>
      </c>
      <c r="AB293" s="30" t="str">
        <f>_xlfn.XLOOKUP(Table5[[#This Row],[RiderID]], Rider_Directory!$F$2:$F$26, Rider_Directory!$B$2:$B$26)</f>
        <v>Kathmandu</v>
      </c>
      <c r="AC293" s="30" t="str" cm="1">
        <f t="array" ref="AC293">_xlfn.IFS(Table5[[#This Row],[Final Amount]]&lt;500, "Small", Table5[[#This Row],[Final Amount]]&lt;=1000, "Medium", Table5[[#This Row],[Final Amount]]&gt;1000, "Large")</f>
        <v>Small</v>
      </c>
      <c r="AD293" s="30" t="str">
        <f>_xlfn.LET(_xlpm.expiry,_xlfn.XLOOKUP(Table5[[#This Row],[PromoCode]],Promo_Codes!$A$2:$A$9,Promo_Codes!$F$2:$F$9,DATE(2099,1,1)),IF(Table5[[#This Row],[OrderDate]]&gt;_xlpm.expiry,"Expired Code Used","Valid"))</f>
        <v>Valid</v>
      </c>
    </row>
    <row r="294" spans="1:30" x14ac:dyDescent="0.3">
      <c r="A294" s="28" t="s">
        <v>574</v>
      </c>
      <c r="B294" s="27">
        <v>46036</v>
      </c>
      <c r="C294" s="28" t="s">
        <v>175</v>
      </c>
      <c r="D294" s="28" t="s">
        <v>1165</v>
      </c>
      <c r="E294" s="27">
        <v>45959</v>
      </c>
      <c r="F294" s="27" t="str">
        <f t="shared" si="12"/>
        <v>Returning</v>
      </c>
      <c r="G294" s="28" t="s">
        <v>198</v>
      </c>
      <c r="H294" s="28" t="s">
        <v>163</v>
      </c>
      <c r="I294" s="28" t="s">
        <v>164</v>
      </c>
      <c r="J294" s="28" t="s">
        <v>393</v>
      </c>
      <c r="K294" s="29">
        <v>2</v>
      </c>
      <c r="L294" s="28" t="s">
        <v>213</v>
      </c>
      <c r="M294" s="28" t="s">
        <v>140</v>
      </c>
      <c r="N294" s="28"/>
      <c r="O294" s="28" t="s">
        <v>130</v>
      </c>
      <c r="P294" s="28" t="str">
        <f t="shared" si="13"/>
        <v/>
      </c>
      <c r="Q294" s="29">
        <v>4</v>
      </c>
      <c r="R294" s="29">
        <v>35</v>
      </c>
      <c r="S294" s="28"/>
      <c r="T294" s="30" t="str">
        <f>_xlfn.CONCAT(Table5[[#This Row],[OrderID]]," | ",Table5[[#This Row],[City]]," | ",Table5[[#This Row],[ItemName]])</f>
        <v>ORD-1290 | Lalitpur | Lemon Soda</v>
      </c>
      <c r="U294" s="30" t="str">
        <f>UPPER(Table5[[#This Row],[City]])</f>
        <v>LALITPUR</v>
      </c>
      <c r="V294" s="30" t="str">
        <f>LOWER(Table5[[#This Row],[PaymentMethod]])</f>
        <v>cash on delivery</v>
      </c>
      <c r="W294" s="30" cm="1">
        <f t="array" ref="W294">_xlfn.XLOOKUP(TRIM(Table5[[#This Row],[ItemName]]), TRIM(Menu_Price_List_tbl[ItemName]),Menu_Price_List_tbl[UnitPrice_NPR])</f>
        <v>100</v>
      </c>
      <c r="X294" s="31">
        <f t="shared" si="14"/>
        <v>200</v>
      </c>
      <c r="Y294" s="30">
        <f>_xlfn.XLOOKUP(Table5[[#This Row],[City]],City_Delivery_Fee_tbl[City],City_Delivery_Fee_tbl[BaseDeliveryFee_NPR])</f>
        <v>50</v>
      </c>
      <c r="Z29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94" s="31">
        <f>Table5[[#This Row],[Order Amount]]+Table5[[#This Row],[Delivery Fee]]-Table5[[#This Row],[Discount Amount]]</f>
        <v>250</v>
      </c>
      <c r="AB294" s="30" t="str">
        <f>_xlfn.XLOOKUP(Table5[[#This Row],[RiderID]], Rider_Directory!$F$2:$F$26, Rider_Directory!$B$2:$B$26)</f>
        <v>Lalitpur</v>
      </c>
      <c r="AC294" s="30" t="str" cm="1">
        <f t="array" ref="AC294">_xlfn.IFS(Table5[[#This Row],[Final Amount]]&lt;500, "Small", Table5[[#This Row],[Final Amount]]&lt;=1000, "Medium", Table5[[#This Row],[Final Amount]]&gt;1000, "Large")</f>
        <v>Small</v>
      </c>
      <c r="AD294" s="30" t="str">
        <f>_xlfn.LET(_xlpm.expiry,_xlfn.XLOOKUP(Table5[[#This Row],[PromoCode]],Promo_Codes!$A$2:$A$9,Promo_Codes!$F$2:$F$9,DATE(2099,1,1)),IF(Table5[[#This Row],[OrderDate]]&gt;_xlpm.expiry,"Expired Code Used","Valid"))</f>
        <v>Valid</v>
      </c>
    </row>
    <row r="295" spans="1:30" x14ac:dyDescent="0.3">
      <c r="A295" s="28" t="s">
        <v>804</v>
      </c>
      <c r="B295" s="27">
        <v>46036</v>
      </c>
      <c r="C295" s="28" t="s">
        <v>805</v>
      </c>
      <c r="D295" s="28" t="s">
        <v>1268</v>
      </c>
      <c r="E295" s="27">
        <v>46036</v>
      </c>
      <c r="F295" s="27" t="str">
        <f t="shared" si="12"/>
        <v>New</v>
      </c>
      <c r="G295" s="28" t="s">
        <v>145</v>
      </c>
      <c r="H295" s="28" t="s">
        <v>350</v>
      </c>
      <c r="I295" s="28" t="s">
        <v>351</v>
      </c>
      <c r="J295" s="28" t="s">
        <v>539</v>
      </c>
      <c r="K295" s="29">
        <v>1</v>
      </c>
      <c r="L295" s="28" t="s">
        <v>149</v>
      </c>
      <c r="M295" s="28" t="s">
        <v>128</v>
      </c>
      <c r="N295" s="28"/>
      <c r="O295" s="28" t="s">
        <v>130</v>
      </c>
      <c r="P295" s="28" t="str">
        <f t="shared" si="13"/>
        <v/>
      </c>
      <c r="Q295" s="29">
        <v>3</v>
      </c>
      <c r="R295" s="29">
        <v>57</v>
      </c>
      <c r="S295" s="28" t="s">
        <v>241</v>
      </c>
      <c r="T295" s="30" t="str">
        <f>_xlfn.CONCAT(Table5[[#This Row],[OrderID]]," | ",Table5[[#This Row],[City]]," | ",Table5[[#This Row],[ItemName]])</f>
        <v>ORD-1291 | Chitwan | Mutton Sekuwa</v>
      </c>
      <c r="U295" s="30" t="str">
        <f>UPPER(Table5[[#This Row],[City]])</f>
        <v>CHITWAN</v>
      </c>
      <c r="V295" s="30" t="str">
        <f>LOWER(Table5[[#This Row],[PaymentMethod]])</f>
        <v>esewa</v>
      </c>
      <c r="W295" s="30" cm="1">
        <f t="array" ref="W295">_xlfn.XLOOKUP(TRIM(Table5[[#This Row],[ItemName]]), TRIM(Menu_Price_List_tbl[ItemName]),Menu_Price_List_tbl[UnitPrice_NPR])</f>
        <v>600</v>
      </c>
      <c r="X295" s="31">
        <f t="shared" si="14"/>
        <v>600</v>
      </c>
      <c r="Y295" s="30">
        <f>_xlfn.XLOOKUP(Table5[[#This Row],[City]],City_Delivery_Fee_tbl[City],City_Delivery_Fee_tbl[BaseDeliveryFee_NPR])</f>
        <v>80</v>
      </c>
      <c r="Z29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95" s="31">
        <f>Table5[[#This Row],[Order Amount]]+Table5[[#This Row],[Delivery Fee]]-Table5[[#This Row],[Discount Amount]]</f>
        <v>680</v>
      </c>
      <c r="AB295" s="30" t="str">
        <f>_xlfn.XLOOKUP(Table5[[#This Row],[RiderID]], Rider_Directory!$F$2:$F$26, Rider_Directory!$B$2:$B$26)</f>
        <v>Chitwan</v>
      </c>
      <c r="AC295" s="30" t="str" cm="1">
        <f t="array" ref="AC295">_xlfn.IFS(Table5[[#This Row],[Final Amount]]&lt;500, "Small", Table5[[#This Row],[Final Amount]]&lt;=1000, "Medium", Table5[[#This Row],[Final Amount]]&gt;1000, "Large")</f>
        <v>Medium</v>
      </c>
      <c r="AD295" s="30" t="str">
        <f>_xlfn.LET(_xlpm.expiry,_xlfn.XLOOKUP(Table5[[#This Row],[PromoCode]],Promo_Codes!$A$2:$A$9,Promo_Codes!$F$2:$F$9,DATE(2099,1,1)),IF(Table5[[#This Row],[OrderDate]]&gt;_xlpm.expiry,"Expired Code Used","Valid"))</f>
        <v>Valid</v>
      </c>
    </row>
    <row r="296" spans="1:30" x14ac:dyDescent="0.3">
      <c r="A296" s="28" t="s">
        <v>1003</v>
      </c>
      <c r="B296" s="27">
        <v>46036</v>
      </c>
      <c r="C296" s="28" t="s">
        <v>597</v>
      </c>
      <c r="D296" s="28" t="s">
        <v>1236</v>
      </c>
      <c r="E296" s="27">
        <v>45904</v>
      </c>
      <c r="F296" s="27" t="str">
        <f t="shared" si="12"/>
        <v>Returning</v>
      </c>
      <c r="G296" s="28" t="s">
        <v>135</v>
      </c>
      <c r="H296" s="28" t="s">
        <v>124</v>
      </c>
      <c r="I296" s="28" t="s">
        <v>125</v>
      </c>
      <c r="J296" s="28" t="s">
        <v>217</v>
      </c>
      <c r="K296" s="29">
        <v>1</v>
      </c>
      <c r="L296" s="28" t="s">
        <v>139</v>
      </c>
      <c r="M296" s="28" t="s">
        <v>128</v>
      </c>
      <c r="N296" s="28"/>
      <c r="O296" s="28" t="s">
        <v>130</v>
      </c>
      <c r="P296" s="28" t="str">
        <f t="shared" si="13"/>
        <v/>
      </c>
      <c r="Q296" s="28"/>
      <c r="R296" s="29">
        <v>26</v>
      </c>
      <c r="S296" s="28"/>
      <c r="T296" s="30" t="str">
        <f>_xlfn.CONCAT(Table5[[#This Row],[OrderID]]," | ",Table5[[#This Row],[City]]," | ",Table5[[#This Row],[ItemName]])</f>
        <v>ORD-1292 | Kathmandu | Chatamari</v>
      </c>
      <c r="U296" s="30" t="str">
        <f>UPPER(Table5[[#This Row],[City]])</f>
        <v>KATHMANDU</v>
      </c>
      <c r="V296" s="30" t="str">
        <f>LOWER(Table5[[#This Row],[PaymentMethod]])</f>
        <v>esewa</v>
      </c>
      <c r="W296" s="30" cm="1">
        <f t="array" ref="W296">_xlfn.XLOOKUP(TRIM(Table5[[#This Row],[ItemName]]), TRIM(Menu_Price_List_tbl[ItemName]),Menu_Price_List_tbl[UnitPrice_NPR])</f>
        <v>210</v>
      </c>
      <c r="X296" s="31">
        <f t="shared" si="14"/>
        <v>210</v>
      </c>
      <c r="Y296" s="30">
        <f>_xlfn.XLOOKUP(Table5[[#This Row],[City]],City_Delivery_Fee_tbl[City],City_Delivery_Fee_tbl[BaseDeliveryFee_NPR])</f>
        <v>50</v>
      </c>
      <c r="Z29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96" s="31">
        <f>Table5[[#This Row],[Order Amount]]+Table5[[#This Row],[Delivery Fee]]-Table5[[#This Row],[Discount Amount]]</f>
        <v>260</v>
      </c>
      <c r="AB296" s="30" t="str">
        <f>_xlfn.XLOOKUP(Table5[[#This Row],[RiderID]], Rider_Directory!$F$2:$F$26, Rider_Directory!$B$2:$B$26)</f>
        <v>Kathmandu</v>
      </c>
      <c r="AC296" s="30" t="str" cm="1">
        <f t="array" ref="AC296">_xlfn.IFS(Table5[[#This Row],[Final Amount]]&lt;500, "Small", Table5[[#This Row],[Final Amount]]&lt;=1000, "Medium", Table5[[#This Row],[Final Amount]]&gt;1000, "Large")</f>
        <v>Small</v>
      </c>
      <c r="AD296" s="30" t="str">
        <f>_xlfn.LET(_xlpm.expiry,_xlfn.XLOOKUP(Table5[[#This Row],[PromoCode]],Promo_Codes!$A$2:$A$9,Promo_Codes!$F$2:$F$9,DATE(2099,1,1)),IF(Table5[[#This Row],[OrderDate]]&gt;_xlpm.expiry,"Expired Code Used","Valid"))</f>
        <v>Valid</v>
      </c>
    </row>
    <row r="297" spans="1:30" x14ac:dyDescent="0.3">
      <c r="A297" s="28" t="s">
        <v>551</v>
      </c>
      <c r="B297" s="27">
        <v>46037</v>
      </c>
      <c r="C297" s="28" t="s">
        <v>1134</v>
      </c>
      <c r="D297" s="28" t="s">
        <v>1230</v>
      </c>
      <c r="E297" s="27">
        <v>45901</v>
      </c>
      <c r="F297" s="27" t="str">
        <f t="shared" si="12"/>
        <v>Returning</v>
      </c>
      <c r="G297" s="28" t="s">
        <v>145</v>
      </c>
      <c r="H297" s="28" t="s">
        <v>350</v>
      </c>
      <c r="I297" s="28" t="s">
        <v>351</v>
      </c>
      <c r="J297" s="28" t="s">
        <v>555</v>
      </c>
      <c r="K297" s="29">
        <v>2</v>
      </c>
      <c r="L297" s="28" t="s">
        <v>307</v>
      </c>
      <c r="M297" s="28" t="s">
        <v>159</v>
      </c>
      <c r="N297" s="28"/>
      <c r="O297" s="28" t="s">
        <v>235</v>
      </c>
      <c r="P297" s="28" t="str">
        <f t="shared" si="13"/>
        <v/>
      </c>
      <c r="Q297" s="28"/>
      <c r="R297" s="29">
        <v>49</v>
      </c>
      <c r="S297" s="28" t="s">
        <v>280</v>
      </c>
      <c r="T297" s="30" t="str">
        <f>_xlfn.CONCAT(Table5[[#This Row],[OrderID]]," | ",Table5[[#This Row],[City]]," | ",Table5[[#This Row],[ItemName]])</f>
        <v>ORD-1293 | Chitwan | mutton sekuwa</v>
      </c>
      <c r="U297" s="30" t="str">
        <f>UPPER(Table5[[#This Row],[City]])</f>
        <v>CHITWAN</v>
      </c>
      <c r="V297" s="30" t="str">
        <f>LOWER(Table5[[#This Row],[PaymentMethod]])</f>
        <v>khalti</v>
      </c>
      <c r="W297" s="30" cm="1">
        <f t="array" ref="W297">_xlfn.XLOOKUP(TRIM(Table5[[#This Row],[ItemName]]), TRIM(Menu_Price_List_tbl[ItemName]),Menu_Price_List_tbl[UnitPrice_NPR])</f>
        <v>600</v>
      </c>
      <c r="X297" s="31">
        <f t="shared" si="14"/>
        <v>1200</v>
      </c>
      <c r="Y297" s="30">
        <f>_xlfn.XLOOKUP(Table5[[#This Row],[City]],City_Delivery_Fee_tbl[City],City_Delivery_Fee_tbl[BaseDeliveryFee_NPR])</f>
        <v>80</v>
      </c>
      <c r="Z29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97" s="31">
        <f>Table5[[#This Row],[Order Amount]]+Table5[[#This Row],[Delivery Fee]]-Table5[[#This Row],[Discount Amount]]</f>
        <v>1280</v>
      </c>
      <c r="AB297" s="30" t="str">
        <f>_xlfn.XLOOKUP(Table5[[#This Row],[RiderID]], Rider_Directory!$F$2:$F$26, Rider_Directory!$B$2:$B$26)</f>
        <v>Chitwan</v>
      </c>
      <c r="AC297" s="30" t="str" cm="1">
        <f t="array" ref="AC297">_xlfn.IFS(Table5[[#This Row],[Final Amount]]&lt;500, "Small", Table5[[#This Row],[Final Amount]]&lt;=1000, "Medium", Table5[[#This Row],[Final Amount]]&gt;1000, "Large")</f>
        <v>Large</v>
      </c>
      <c r="AD297" s="30" t="str">
        <f>_xlfn.LET(_xlpm.expiry,_xlfn.XLOOKUP(Table5[[#This Row],[PromoCode]],Promo_Codes!$A$2:$A$9,Promo_Codes!$F$2:$F$9,DATE(2099,1,1)),IF(Table5[[#This Row],[OrderDate]]&gt;_xlpm.expiry,"Expired Code Used","Valid"))</f>
        <v>Valid</v>
      </c>
    </row>
    <row r="298" spans="1:30" x14ac:dyDescent="0.3">
      <c r="A298" s="28" t="s">
        <v>607</v>
      </c>
      <c r="B298" s="27">
        <v>46037</v>
      </c>
      <c r="C298" s="28" t="s">
        <v>608</v>
      </c>
      <c r="D298" s="28" t="s">
        <v>1214</v>
      </c>
      <c r="E298" s="27">
        <v>45889</v>
      </c>
      <c r="F298" s="27" t="str">
        <f t="shared" si="12"/>
        <v>Returning</v>
      </c>
      <c r="G298" s="28" t="s">
        <v>206</v>
      </c>
      <c r="H298" s="28" t="s">
        <v>171</v>
      </c>
      <c r="I298" s="28" t="s">
        <v>147</v>
      </c>
      <c r="J298" s="28" t="s">
        <v>559</v>
      </c>
      <c r="K298" s="29">
        <v>1</v>
      </c>
      <c r="L298" s="28" t="s">
        <v>298</v>
      </c>
      <c r="M298" s="28" t="s">
        <v>140</v>
      </c>
      <c r="N298" s="28"/>
      <c r="O298" s="28" t="s">
        <v>130</v>
      </c>
      <c r="P298" s="28" t="str">
        <f t="shared" si="13"/>
        <v/>
      </c>
      <c r="Q298" s="29">
        <v>5</v>
      </c>
      <c r="R298" s="29">
        <v>40</v>
      </c>
      <c r="S298" s="28" t="s">
        <v>141</v>
      </c>
      <c r="T298" s="30" t="str">
        <f>_xlfn.CONCAT(Table5[[#This Row],[OrderID]]," | ",Table5[[#This Row],[City]]," | ",Table5[[#This Row],[ItemName]])</f>
        <v>ORD-1294 | Pokhara | Laddu (5 pcs)</v>
      </c>
      <c r="U298" s="30" t="str">
        <f>UPPER(Table5[[#This Row],[City]])</f>
        <v>POKHARA</v>
      </c>
      <c r="V298" s="30" t="str">
        <f>LOWER(Table5[[#This Row],[PaymentMethod]])</f>
        <v>cash on delivery</v>
      </c>
      <c r="W298" s="30" cm="1">
        <f t="array" ref="W298">_xlfn.XLOOKUP(TRIM(Table5[[#This Row],[ItemName]]), TRIM(Menu_Price_List_tbl[ItemName]),Menu_Price_List_tbl[UnitPrice_NPR])</f>
        <v>180</v>
      </c>
      <c r="X298" s="31">
        <f t="shared" si="14"/>
        <v>180</v>
      </c>
      <c r="Y298" s="30">
        <f>_xlfn.XLOOKUP(Table5[[#This Row],[City]],City_Delivery_Fee_tbl[City],City_Delivery_Fee_tbl[BaseDeliveryFee_NPR])</f>
        <v>70</v>
      </c>
      <c r="Z29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98" s="31">
        <f>Table5[[#This Row],[Order Amount]]+Table5[[#This Row],[Delivery Fee]]-Table5[[#This Row],[Discount Amount]]</f>
        <v>250</v>
      </c>
      <c r="AB298" s="30" t="str">
        <f>_xlfn.XLOOKUP(Table5[[#This Row],[RiderID]], Rider_Directory!$F$2:$F$26, Rider_Directory!$B$2:$B$26)</f>
        <v>Pokhara</v>
      </c>
      <c r="AC298" s="30" t="str" cm="1">
        <f t="array" ref="AC298">_xlfn.IFS(Table5[[#This Row],[Final Amount]]&lt;500, "Small", Table5[[#This Row],[Final Amount]]&lt;=1000, "Medium", Table5[[#This Row],[Final Amount]]&gt;1000, "Large")</f>
        <v>Small</v>
      </c>
      <c r="AD298" s="30" t="str">
        <f>_xlfn.LET(_xlpm.expiry,_xlfn.XLOOKUP(Table5[[#This Row],[PromoCode]],Promo_Codes!$A$2:$A$9,Promo_Codes!$F$2:$F$9,DATE(2099,1,1)),IF(Table5[[#This Row],[OrderDate]]&gt;_xlpm.expiry,"Expired Code Used","Valid"))</f>
        <v>Valid</v>
      </c>
    </row>
    <row r="299" spans="1:30" x14ac:dyDescent="0.3">
      <c r="A299" s="28" t="s">
        <v>560</v>
      </c>
      <c r="B299" s="27">
        <v>46038</v>
      </c>
      <c r="C299" s="28" t="s">
        <v>561</v>
      </c>
      <c r="D299" s="28" t="s">
        <v>1231</v>
      </c>
      <c r="E299" s="27">
        <v>45886</v>
      </c>
      <c r="F299" s="27" t="str">
        <f t="shared" si="12"/>
        <v>Returning</v>
      </c>
      <c r="G299" s="28" t="s">
        <v>259</v>
      </c>
      <c r="H299" s="28" t="s">
        <v>155</v>
      </c>
      <c r="I299" s="28" t="s">
        <v>156</v>
      </c>
      <c r="J299" s="28" t="s">
        <v>157</v>
      </c>
      <c r="K299" s="29">
        <v>2</v>
      </c>
      <c r="L299" s="28" t="s">
        <v>474</v>
      </c>
      <c r="M299" s="28" t="s">
        <v>128</v>
      </c>
      <c r="N299" s="28"/>
      <c r="O299" s="28" t="s">
        <v>130</v>
      </c>
      <c r="P299" s="28" t="str">
        <f t="shared" si="13"/>
        <v/>
      </c>
      <c r="Q299" s="29">
        <v>4</v>
      </c>
      <c r="R299" s="29">
        <v>39</v>
      </c>
      <c r="S299" s="28"/>
      <c r="T299" s="30" t="str">
        <f>_xlfn.CONCAT(Table5[[#This Row],[OrderID]]," | ",Table5[[#This Row],[City]]," | ",Table5[[#This Row],[ItemName]])</f>
        <v>ORD-1295 | Dharan | Chicken Manchurian</v>
      </c>
      <c r="U299" s="30" t="str">
        <f>UPPER(Table5[[#This Row],[City]])</f>
        <v>DHARAN</v>
      </c>
      <c r="V299" s="30" t="str">
        <f>LOWER(Table5[[#This Row],[PaymentMethod]])</f>
        <v>esewa</v>
      </c>
      <c r="W299" s="30" cm="1">
        <f t="array" ref="W299">_xlfn.XLOOKUP(TRIM(Table5[[#This Row],[ItemName]]), TRIM(Menu_Price_List_tbl[ItemName]),Menu_Price_List_tbl[UnitPrice_NPR])</f>
        <v>320</v>
      </c>
      <c r="X299" s="31">
        <f t="shared" si="14"/>
        <v>640</v>
      </c>
      <c r="Y299" s="30">
        <f>_xlfn.XLOOKUP(Table5[[#This Row],[City]],City_Delivery_Fee_tbl[City],City_Delivery_Fee_tbl[BaseDeliveryFee_NPR])</f>
        <v>95</v>
      </c>
      <c r="Z29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299" s="31">
        <f>Table5[[#This Row],[Order Amount]]+Table5[[#This Row],[Delivery Fee]]-Table5[[#This Row],[Discount Amount]]</f>
        <v>735</v>
      </c>
      <c r="AB299" s="30" t="str">
        <f>_xlfn.XLOOKUP(Table5[[#This Row],[RiderID]], Rider_Directory!$F$2:$F$26, Rider_Directory!$B$2:$B$26)</f>
        <v>Dharan</v>
      </c>
      <c r="AC299" s="30" t="str" cm="1">
        <f t="array" ref="AC299">_xlfn.IFS(Table5[[#This Row],[Final Amount]]&lt;500, "Small", Table5[[#This Row],[Final Amount]]&lt;=1000, "Medium", Table5[[#This Row],[Final Amount]]&gt;1000, "Large")</f>
        <v>Medium</v>
      </c>
      <c r="AD299" s="30" t="str">
        <f>_xlfn.LET(_xlpm.expiry,_xlfn.XLOOKUP(Table5[[#This Row],[PromoCode]],Promo_Codes!$A$2:$A$9,Promo_Codes!$F$2:$F$9,DATE(2099,1,1)),IF(Table5[[#This Row],[OrderDate]]&gt;_xlpm.expiry,"Expired Code Used","Valid"))</f>
        <v>Valid</v>
      </c>
    </row>
    <row r="300" spans="1:30" x14ac:dyDescent="0.3">
      <c r="A300" s="28" t="s">
        <v>616</v>
      </c>
      <c r="B300" s="27">
        <v>46038</v>
      </c>
      <c r="C300" s="28" t="s">
        <v>487</v>
      </c>
      <c r="D300" s="28" t="s">
        <v>1184</v>
      </c>
      <c r="E300" s="27">
        <v>45918</v>
      </c>
      <c r="F300" s="27" t="str">
        <f t="shared" si="12"/>
        <v>Returning</v>
      </c>
      <c r="G300" s="28" t="s">
        <v>177</v>
      </c>
      <c r="H300" s="28" t="s">
        <v>245</v>
      </c>
      <c r="I300" s="28" t="s">
        <v>233</v>
      </c>
      <c r="J300" s="28" t="s">
        <v>499</v>
      </c>
      <c r="K300" s="29">
        <v>3</v>
      </c>
      <c r="L300" s="28" t="s">
        <v>181</v>
      </c>
      <c r="M300" s="28" t="s">
        <v>159</v>
      </c>
      <c r="N300" s="28" t="s">
        <v>518</v>
      </c>
      <c r="O300" s="28" t="s">
        <v>130</v>
      </c>
      <c r="P300" s="28" t="str">
        <f t="shared" si="13"/>
        <v/>
      </c>
      <c r="Q300" s="29">
        <v>5</v>
      </c>
      <c r="R300" s="29">
        <v>31</v>
      </c>
      <c r="S300" s="28"/>
      <c r="T300" s="30" t="str">
        <f>_xlfn.CONCAT(Table5[[#This Row],[OrderID]]," | ",Table5[[#This Row],[City]]," | ",Table5[[#This Row],[ItemName]])</f>
        <v>ORD-1296 | Bhaktapur | Chilli Momo</v>
      </c>
      <c r="U300" s="30" t="str">
        <f>UPPER(Table5[[#This Row],[City]])</f>
        <v>BHAKTAPUR</v>
      </c>
      <c r="V300" s="30" t="str">
        <f>LOWER(Table5[[#This Row],[PaymentMethod]])</f>
        <v>khalti</v>
      </c>
      <c r="W300" s="30" cm="1">
        <f t="array" ref="W300">_xlfn.XLOOKUP(TRIM(Table5[[#This Row],[ItemName]]), TRIM(Menu_Price_List_tbl[ItemName]),Menu_Price_List_tbl[UnitPrice_NPR])</f>
        <v>220</v>
      </c>
      <c r="X300" s="31">
        <f t="shared" si="14"/>
        <v>660</v>
      </c>
      <c r="Y300" s="30">
        <f>_xlfn.XLOOKUP(Table5[[#This Row],[City]],City_Delivery_Fee_tbl[City],City_Delivery_Fee_tbl[BaseDeliveryFee_NPR])</f>
        <v>55</v>
      </c>
      <c r="Z30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300" s="31">
        <f>Table5[[#This Row],[Order Amount]]+Table5[[#This Row],[Delivery Fee]]-Table5[[#This Row],[Discount Amount]]</f>
        <v>615</v>
      </c>
      <c r="AB300" s="30" t="str">
        <f>_xlfn.XLOOKUP(Table5[[#This Row],[RiderID]], Rider_Directory!$F$2:$F$26, Rider_Directory!$B$2:$B$26)</f>
        <v>Bhaktapur</v>
      </c>
      <c r="AC300" s="30" t="str" cm="1">
        <f t="array" ref="AC300">_xlfn.IFS(Table5[[#This Row],[Final Amount]]&lt;500, "Small", Table5[[#This Row],[Final Amount]]&lt;=1000, "Medium", Table5[[#This Row],[Final Amount]]&gt;1000, "Large")</f>
        <v>Medium</v>
      </c>
      <c r="AD300" s="30" t="str">
        <f>_xlfn.LET(_xlpm.expiry,_xlfn.XLOOKUP(Table5[[#This Row],[PromoCode]],Promo_Codes!$A$2:$A$9,Promo_Codes!$F$2:$F$9,DATE(2099,1,1)),IF(Table5[[#This Row],[OrderDate]]&gt;_xlpm.expiry,"Expired Code Used","Valid"))</f>
        <v>Valid</v>
      </c>
    </row>
    <row r="301" spans="1:30" x14ac:dyDescent="0.3">
      <c r="A301" s="28" t="s">
        <v>822</v>
      </c>
      <c r="B301" s="27">
        <v>46038</v>
      </c>
      <c r="C301" s="28" t="s">
        <v>243</v>
      </c>
      <c r="D301" s="28" t="s">
        <v>1175</v>
      </c>
      <c r="E301" s="27">
        <v>45814</v>
      </c>
      <c r="F301" s="27" t="str">
        <f t="shared" si="12"/>
        <v>Returning</v>
      </c>
      <c r="G301" s="28" t="s">
        <v>135</v>
      </c>
      <c r="H301" s="28" t="s">
        <v>192</v>
      </c>
      <c r="I301" s="28" t="s">
        <v>137</v>
      </c>
      <c r="J301" s="28" t="s">
        <v>269</v>
      </c>
      <c r="K301" s="29">
        <v>1</v>
      </c>
      <c r="L301" s="28" t="s">
        <v>265</v>
      </c>
      <c r="M301" s="28" t="s">
        <v>140</v>
      </c>
      <c r="N301" s="28" t="s">
        <v>240</v>
      </c>
      <c r="O301" s="28" t="s">
        <v>279</v>
      </c>
      <c r="P301" s="28" t="str">
        <f t="shared" si="13"/>
        <v/>
      </c>
      <c r="Q301" s="28"/>
      <c r="R301" s="29">
        <v>35</v>
      </c>
      <c r="S301" s="28" t="s">
        <v>280</v>
      </c>
      <c r="T301" s="30" t="str">
        <f>_xlfn.CONCAT(Table5[[#This Row],[OrderID]]," | ",Table5[[#This Row],[City]]," | ",Table5[[#This Row],[ItemName]])</f>
        <v>ORD-1297 | Kathmandu | Veg Thakali Set</v>
      </c>
      <c r="U301" s="30" t="str">
        <f>UPPER(Table5[[#This Row],[City]])</f>
        <v>KATHMANDU</v>
      </c>
      <c r="V301" s="30" t="str">
        <f>LOWER(Table5[[#This Row],[PaymentMethod]])</f>
        <v>cash on delivery</v>
      </c>
      <c r="W301" s="30" cm="1">
        <f t="array" ref="W301">_xlfn.XLOOKUP(TRIM(Table5[[#This Row],[ItemName]]), TRIM(Menu_Price_List_tbl[ItemName]),Menu_Price_List_tbl[UnitPrice_NPR])</f>
        <v>380</v>
      </c>
      <c r="X301" s="31">
        <f t="shared" si="14"/>
        <v>380</v>
      </c>
      <c r="Y301" s="30">
        <f>_xlfn.XLOOKUP(Table5[[#This Row],[City]],City_Delivery_Fee_tbl[City],City_Delivery_Fee_tbl[BaseDeliveryFee_NPR])</f>
        <v>50</v>
      </c>
      <c r="Z30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76</v>
      </c>
      <c r="AA301" s="31">
        <f>Table5[[#This Row],[Order Amount]]+Table5[[#This Row],[Delivery Fee]]-Table5[[#This Row],[Discount Amount]]</f>
        <v>354</v>
      </c>
      <c r="AB301" s="30" t="str">
        <f>_xlfn.XLOOKUP(Table5[[#This Row],[RiderID]], Rider_Directory!$F$2:$F$26, Rider_Directory!$B$2:$B$26)</f>
        <v>Kathmandu</v>
      </c>
      <c r="AC301" s="30" t="str" cm="1">
        <f t="array" ref="AC301">_xlfn.IFS(Table5[[#This Row],[Final Amount]]&lt;500, "Small", Table5[[#This Row],[Final Amount]]&lt;=1000, "Medium", Table5[[#This Row],[Final Amount]]&gt;1000, "Large")</f>
        <v>Small</v>
      </c>
      <c r="AD301" s="30" t="str">
        <f>_xlfn.LET(_xlpm.expiry,_xlfn.XLOOKUP(Table5[[#This Row],[PromoCode]],Promo_Codes!$A$2:$A$9,Promo_Codes!$F$2:$F$9,DATE(2099,1,1)),IF(Table5[[#This Row],[OrderDate]]&gt;_xlpm.expiry,"Expired Code Used","Valid"))</f>
        <v>Valid</v>
      </c>
    </row>
    <row r="302" spans="1:30" x14ac:dyDescent="0.3">
      <c r="A302" s="28" t="s">
        <v>594</v>
      </c>
      <c r="B302" s="27">
        <v>46039</v>
      </c>
      <c r="C302" s="28" t="s">
        <v>404</v>
      </c>
      <c r="D302" s="28" t="s">
        <v>1203</v>
      </c>
      <c r="E302" s="27">
        <v>45953</v>
      </c>
      <c r="F302" s="27" t="str">
        <f t="shared" si="12"/>
        <v>Returning</v>
      </c>
      <c r="G302" s="28" t="s">
        <v>198</v>
      </c>
      <c r="H302" s="28" t="s">
        <v>155</v>
      </c>
      <c r="I302" s="28" t="s">
        <v>156</v>
      </c>
      <c r="J302" s="28" t="s">
        <v>317</v>
      </c>
      <c r="K302" s="29">
        <v>1</v>
      </c>
      <c r="L302" s="28" t="s">
        <v>213</v>
      </c>
      <c r="M302" s="28" t="s">
        <v>159</v>
      </c>
      <c r="N302" s="28"/>
      <c r="O302" s="28" t="s">
        <v>130</v>
      </c>
      <c r="P302" s="28" t="str">
        <f t="shared" si="13"/>
        <v/>
      </c>
      <c r="Q302" s="29">
        <v>4</v>
      </c>
      <c r="R302" s="29">
        <v>32</v>
      </c>
      <c r="S302" s="28" t="s">
        <v>202</v>
      </c>
      <c r="T302" s="30" t="str">
        <f>_xlfn.CONCAT(Table5[[#This Row],[OrderID]]," | ",Table5[[#This Row],[City]]," | ",Table5[[#This Row],[ItemName]])</f>
        <v>ORD-1298 | Lalitpur | Chicken Fried Rice</v>
      </c>
      <c r="U302" s="30" t="str">
        <f>UPPER(Table5[[#This Row],[City]])</f>
        <v>LALITPUR</v>
      </c>
      <c r="V302" s="30" t="str">
        <f>LOWER(Table5[[#This Row],[PaymentMethod]])</f>
        <v>khalti</v>
      </c>
      <c r="W302" s="30" cm="1">
        <f t="array" ref="W302">_xlfn.XLOOKUP(TRIM(Table5[[#This Row],[ItemName]]), TRIM(Menu_Price_List_tbl[ItemName]),Menu_Price_List_tbl[UnitPrice_NPR])</f>
        <v>260</v>
      </c>
      <c r="X302" s="31">
        <f t="shared" si="14"/>
        <v>260</v>
      </c>
      <c r="Y302" s="30">
        <f>_xlfn.XLOOKUP(Table5[[#This Row],[City]],City_Delivery_Fee_tbl[City],City_Delivery_Fee_tbl[BaseDeliveryFee_NPR])</f>
        <v>50</v>
      </c>
      <c r="Z30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02" s="31">
        <f>Table5[[#This Row],[Order Amount]]+Table5[[#This Row],[Delivery Fee]]-Table5[[#This Row],[Discount Amount]]</f>
        <v>310</v>
      </c>
      <c r="AB302" s="30" t="str">
        <f>_xlfn.XLOOKUP(Table5[[#This Row],[RiderID]], Rider_Directory!$F$2:$F$26, Rider_Directory!$B$2:$B$26)</f>
        <v>Lalitpur</v>
      </c>
      <c r="AC302" s="30" t="str" cm="1">
        <f t="array" ref="AC302">_xlfn.IFS(Table5[[#This Row],[Final Amount]]&lt;500, "Small", Table5[[#This Row],[Final Amount]]&lt;=1000, "Medium", Table5[[#This Row],[Final Amount]]&gt;1000, "Large")</f>
        <v>Small</v>
      </c>
      <c r="AD302" s="30" t="str">
        <f>_xlfn.LET(_xlpm.expiry,_xlfn.XLOOKUP(Table5[[#This Row],[PromoCode]],Promo_Codes!$A$2:$A$9,Promo_Codes!$F$2:$F$9,DATE(2099,1,1)),IF(Table5[[#This Row],[OrderDate]]&gt;_xlpm.expiry,"Expired Code Used","Valid"))</f>
        <v>Valid</v>
      </c>
    </row>
    <row r="303" spans="1:30" x14ac:dyDescent="0.3">
      <c r="A303" s="28" t="s">
        <v>717</v>
      </c>
      <c r="B303" s="27">
        <v>46039</v>
      </c>
      <c r="C303" s="28" t="s">
        <v>325</v>
      </c>
      <c r="D303" s="28" t="s">
        <v>1245</v>
      </c>
      <c r="E303" s="27">
        <v>45966</v>
      </c>
      <c r="F303" s="27" t="str">
        <f t="shared" si="12"/>
        <v>Returning</v>
      </c>
      <c r="G303" s="28" t="s">
        <v>198</v>
      </c>
      <c r="H303" s="28" t="s">
        <v>216</v>
      </c>
      <c r="I303" s="28" t="s">
        <v>125</v>
      </c>
      <c r="J303" s="28" t="s">
        <v>126</v>
      </c>
      <c r="K303" s="29">
        <v>2</v>
      </c>
      <c r="L303" s="28" t="s">
        <v>251</v>
      </c>
      <c r="M303" s="28" t="s">
        <v>140</v>
      </c>
      <c r="N303" s="28"/>
      <c r="O303" s="28" t="s">
        <v>130</v>
      </c>
      <c r="P303" s="28" t="str">
        <f t="shared" si="13"/>
        <v/>
      </c>
      <c r="Q303" s="29">
        <v>4</v>
      </c>
      <c r="R303" s="29">
        <v>42</v>
      </c>
      <c r="S303" s="28"/>
      <c r="T303" s="30" t="str">
        <f>_xlfn.CONCAT(Table5[[#This Row],[OrderID]]," | ",Table5[[#This Row],[City]]," | ",Table5[[#This Row],[ItemName]])</f>
        <v>ORD-1299 | Lalitpur | Bara</v>
      </c>
      <c r="U303" s="30" t="str">
        <f>UPPER(Table5[[#This Row],[City]])</f>
        <v>LALITPUR</v>
      </c>
      <c r="V303" s="30" t="str">
        <f>LOWER(Table5[[#This Row],[PaymentMethod]])</f>
        <v>cash on delivery</v>
      </c>
      <c r="W303" s="30" cm="1">
        <f t="array" ref="W303">_xlfn.XLOOKUP(TRIM(Table5[[#This Row],[ItemName]]), TRIM(Menu_Price_List_tbl[ItemName]),Menu_Price_List_tbl[UnitPrice_NPR])</f>
        <v>160</v>
      </c>
      <c r="X303" s="31">
        <f t="shared" si="14"/>
        <v>320</v>
      </c>
      <c r="Y303" s="30">
        <f>_xlfn.XLOOKUP(Table5[[#This Row],[City]],City_Delivery_Fee_tbl[City],City_Delivery_Fee_tbl[BaseDeliveryFee_NPR])</f>
        <v>50</v>
      </c>
      <c r="Z30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03" s="31">
        <f>Table5[[#This Row],[Order Amount]]+Table5[[#This Row],[Delivery Fee]]-Table5[[#This Row],[Discount Amount]]</f>
        <v>370</v>
      </c>
      <c r="AB303" s="30" t="str">
        <f>_xlfn.XLOOKUP(Table5[[#This Row],[RiderID]], Rider_Directory!$F$2:$F$26, Rider_Directory!$B$2:$B$26)</f>
        <v>Lalitpur</v>
      </c>
      <c r="AC303" s="30" t="str" cm="1">
        <f t="array" ref="AC303">_xlfn.IFS(Table5[[#This Row],[Final Amount]]&lt;500, "Small", Table5[[#This Row],[Final Amount]]&lt;=1000, "Medium", Table5[[#This Row],[Final Amount]]&gt;1000, "Large")</f>
        <v>Small</v>
      </c>
      <c r="AD303" s="30" t="str">
        <f>_xlfn.LET(_xlpm.expiry,_xlfn.XLOOKUP(Table5[[#This Row],[PromoCode]],Promo_Codes!$A$2:$A$9,Promo_Codes!$F$2:$F$9,DATE(2099,1,1)),IF(Table5[[#This Row],[OrderDate]]&gt;_xlpm.expiry,"Expired Code Used","Valid"))</f>
        <v>Valid</v>
      </c>
    </row>
    <row r="304" spans="1:30" x14ac:dyDescent="0.3">
      <c r="A304" s="28" t="s">
        <v>399</v>
      </c>
      <c r="B304" s="27">
        <v>46040</v>
      </c>
      <c r="C304" s="28" t="s">
        <v>210</v>
      </c>
      <c r="D304" s="28" t="s">
        <v>1170</v>
      </c>
      <c r="E304" s="27">
        <v>45880</v>
      </c>
      <c r="F304" s="27" t="str">
        <f t="shared" si="12"/>
        <v>Returning</v>
      </c>
      <c r="G304" s="28" t="s">
        <v>135</v>
      </c>
      <c r="H304" s="28" t="s">
        <v>171</v>
      </c>
      <c r="I304" s="28" t="s">
        <v>147</v>
      </c>
      <c r="J304" s="28" t="s">
        <v>148</v>
      </c>
      <c r="K304" s="29">
        <v>2</v>
      </c>
      <c r="L304" s="28" t="s">
        <v>139</v>
      </c>
      <c r="M304" s="28" t="s">
        <v>128</v>
      </c>
      <c r="N304" s="28"/>
      <c r="O304" s="28" t="s">
        <v>130</v>
      </c>
      <c r="P304" s="28" t="str">
        <f t="shared" si="13"/>
        <v/>
      </c>
      <c r="Q304" s="29">
        <v>5</v>
      </c>
      <c r="R304" s="29">
        <v>20</v>
      </c>
      <c r="S304" s="28" t="s">
        <v>202</v>
      </c>
      <c r="T304" s="30" t="str">
        <f>_xlfn.CONCAT(Table5[[#This Row],[OrderID]]," | ",Table5[[#This Row],[City]]," | ",Table5[[#This Row],[ItemName]])</f>
        <v>ORD-1300 | Kathmandu | Barfi (5 pcs)</v>
      </c>
      <c r="U304" s="30" t="str">
        <f>UPPER(Table5[[#This Row],[City]])</f>
        <v>KATHMANDU</v>
      </c>
      <c r="V304" s="30" t="str">
        <f>LOWER(Table5[[#This Row],[PaymentMethod]])</f>
        <v>esewa</v>
      </c>
      <c r="W304" s="30" cm="1">
        <f t="array" ref="W304">_xlfn.XLOOKUP(TRIM(Table5[[#This Row],[ItemName]]), TRIM(Menu_Price_List_tbl[ItemName]),Menu_Price_List_tbl[UnitPrice_NPR])</f>
        <v>220</v>
      </c>
      <c r="X304" s="31">
        <f t="shared" si="14"/>
        <v>440</v>
      </c>
      <c r="Y304" s="30">
        <f>_xlfn.XLOOKUP(Table5[[#This Row],[City]],City_Delivery_Fee_tbl[City],City_Delivery_Fee_tbl[BaseDeliveryFee_NPR])</f>
        <v>50</v>
      </c>
      <c r="Z30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04" s="31">
        <f>Table5[[#This Row],[Order Amount]]+Table5[[#This Row],[Delivery Fee]]-Table5[[#This Row],[Discount Amount]]</f>
        <v>490</v>
      </c>
      <c r="AB304" s="30" t="str">
        <f>_xlfn.XLOOKUP(Table5[[#This Row],[RiderID]], Rider_Directory!$F$2:$F$26, Rider_Directory!$B$2:$B$26)</f>
        <v>Kathmandu</v>
      </c>
      <c r="AC304" s="30" t="str" cm="1">
        <f t="array" ref="AC304">_xlfn.IFS(Table5[[#This Row],[Final Amount]]&lt;500, "Small", Table5[[#This Row],[Final Amount]]&lt;=1000, "Medium", Table5[[#This Row],[Final Amount]]&gt;1000, "Large")</f>
        <v>Small</v>
      </c>
      <c r="AD304" s="30" t="str">
        <f>_xlfn.LET(_xlpm.expiry,_xlfn.XLOOKUP(Table5[[#This Row],[PromoCode]],Promo_Codes!$A$2:$A$9,Promo_Codes!$F$2:$F$9,DATE(2099,1,1)),IF(Table5[[#This Row],[OrderDate]]&gt;_xlpm.expiry,"Expired Code Used","Valid"))</f>
        <v>Valid</v>
      </c>
    </row>
    <row r="305" spans="1:30" x14ac:dyDescent="0.3">
      <c r="A305" s="28" t="s">
        <v>923</v>
      </c>
      <c r="B305" s="27">
        <v>46041</v>
      </c>
      <c r="C305" s="28" t="s">
        <v>686</v>
      </c>
      <c r="D305" s="28" t="s">
        <v>1280</v>
      </c>
      <c r="E305" s="27">
        <v>46041</v>
      </c>
      <c r="F305" s="27" t="str">
        <f t="shared" si="12"/>
        <v>New</v>
      </c>
      <c r="G305" s="28" t="s">
        <v>123</v>
      </c>
      <c r="H305" s="28" t="s">
        <v>124</v>
      </c>
      <c r="I305" s="28" t="s">
        <v>125</v>
      </c>
      <c r="J305" s="28" t="s">
        <v>126</v>
      </c>
      <c r="K305" s="29">
        <v>1</v>
      </c>
      <c r="L305" s="28" t="s">
        <v>127</v>
      </c>
      <c r="M305" s="28" t="s">
        <v>140</v>
      </c>
      <c r="N305" s="28"/>
      <c r="O305" s="28" t="s">
        <v>130</v>
      </c>
      <c r="P305" s="28" t="str">
        <f t="shared" si="13"/>
        <v/>
      </c>
      <c r="Q305" s="29">
        <v>4</v>
      </c>
      <c r="R305" s="29">
        <v>47</v>
      </c>
      <c r="S305" s="28"/>
      <c r="T305" s="30" t="str">
        <f>_xlfn.CONCAT(Table5[[#This Row],[OrderID]]," | ",Table5[[#This Row],[City]]," | ",Table5[[#This Row],[ItemName]])</f>
        <v>ORD-1301 | Biratnagar | Bara</v>
      </c>
      <c r="U305" s="30" t="str">
        <f>UPPER(Table5[[#This Row],[City]])</f>
        <v>BIRATNAGAR</v>
      </c>
      <c r="V305" s="30" t="str">
        <f>LOWER(Table5[[#This Row],[PaymentMethod]])</f>
        <v>cash on delivery</v>
      </c>
      <c r="W305" s="30" cm="1">
        <f t="array" ref="W305">_xlfn.XLOOKUP(TRIM(Table5[[#This Row],[ItemName]]), TRIM(Menu_Price_List_tbl[ItemName]),Menu_Price_List_tbl[UnitPrice_NPR])</f>
        <v>160</v>
      </c>
      <c r="X305" s="31">
        <f t="shared" si="14"/>
        <v>160</v>
      </c>
      <c r="Y305" s="30">
        <f>_xlfn.XLOOKUP(Table5[[#This Row],[City]],City_Delivery_Fee_tbl[City],City_Delivery_Fee_tbl[BaseDeliveryFee_NPR])</f>
        <v>90</v>
      </c>
      <c r="Z30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05" s="31">
        <f>Table5[[#This Row],[Order Amount]]+Table5[[#This Row],[Delivery Fee]]-Table5[[#This Row],[Discount Amount]]</f>
        <v>250</v>
      </c>
      <c r="AB305" s="30" t="str">
        <f>_xlfn.XLOOKUP(Table5[[#This Row],[RiderID]], Rider_Directory!$F$2:$F$26, Rider_Directory!$B$2:$B$26)</f>
        <v>Biratnagar</v>
      </c>
      <c r="AC305" s="30" t="str" cm="1">
        <f t="array" ref="AC305">_xlfn.IFS(Table5[[#This Row],[Final Amount]]&lt;500, "Small", Table5[[#This Row],[Final Amount]]&lt;=1000, "Medium", Table5[[#This Row],[Final Amount]]&gt;1000, "Large")</f>
        <v>Small</v>
      </c>
      <c r="AD305" s="30" t="str">
        <f>_xlfn.LET(_xlpm.expiry,_xlfn.XLOOKUP(Table5[[#This Row],[PromoCode]],Promo_Codes!$A$2:$A$9,Promo_Codes!$F$2:$F$9,DATE(2099,1,1)),IF(Table5[[#This Row],[OrderDate]]&gt;_xlpm.expiry,"Expired Code Used","Valid"))</f>
        <v>Valid</v>
      </c>
    </row>
    <row r="306" spans="1:30" x14ac:dyDescent="0.3">
      <c r="A306" s="28" t="s">
        <v>868</v>
      </c>
      <c r="B306" s="27">
        <v>46041</v>
      </c>
      <c r="C306" s="28" t="s">
        <v>184</v>
      </c>
      <c r="D306" s="28" t="s">
        <v>1166</v>
      </c>
      <c r="E306" s="27">
        <v>45909</v>
      </c>
      <c r="F306" s="27" t="str">
        <f t="shared" si="12"/>
        <v>Returning</v>
      </c>
      <c r="G306" s="28" t="s">
        <v>198</v>
      </c>
      <c r="H306" s="28" t="s">
        <v>146</v>
      </c>
      <c r="I306" s="28" t="s">
        <v>147</v>
      </c>
      <c r="J306" s="28" t="s">
        <v>148</v>
      </c>
      <c r="K306" s="29">
        <v>1</v>
      </c>
      <c r="L306" s="28" t="s">
        <v>251</v>
      </c>
      <c r="M306" s="28" t="s">
        <v>247</v>
      </c>
      <c r="N306" s="28" t="s">
        <v>129</v>
      </c>
      <c r="O306" s="28" t="s">
        <v>130</v>
      </c>
      <c r="P306" s="28" t="str">
        <f t="shared" si="13"/>
        <v/>
      </c>
      <c r="Q306" s="29">
        <v>4</v>
      </c>
      <c r="R306" s="29">
        <v>30</v>
      </c>
      <c r="S306" s="28" t="s">
        <v>141</v>
      </c>
      <c r="T306" s="30" t="str">
        <f>_xlfn.CONCAT(Table5[[#This Row],[OrderID]]," | ",Table5[[#This Row],[City]]," | ",Table5[[#This Row],[ItemName]])</f>
        <v>ORD-1302 | Lalitpur | Barfi (5 pcs)</v>
      </c>
      <c r="U306" s="30" t="str">
        <f>UPPER(Table5[[#This Row],[City]])</f>
        <v>LALITPUR</v>
      </c>
      <c r="V306" s="30" t="str">
        <f>LOWER(Table5[[#This Row],[PaymentMethod]])</f>
        <v>ime pay</v>
      </c>
      <c r="W306" s="30" cm="1">
        <f t="array" ref="W306">_xlfn.XLOOKUP(TRIM(Table5[[#This Row],[ItemName]]), TRIM(Menu_Price_List_tbl[ItemName]),Menu_Price_List_tbl[UnitPrice_NPR])</f>
        <v>220</v>
      </c>
      <c r="X306" s="31">
        <f t="shared" si="14"/>
        <v>220</v>
      </c>
      <c r="Y306" s="30">
        <f>_xlfn.XLOOKUP(Table5[[#This Row],[City]],City_Delivery_Fee_tbl[City],City_Delivery_Fee_tbl[BaseDeliveryFee_NPR])</f>
        <v>50</v>
      </c>
      <c r="Z30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306" s="31">
        <f>Table5[[#This Row],[Order Amount]]+Table5[[#This Row],[Delivery Fee]]-Table5[[#This Row],[Discount Amount]]</f>
        <v>170</v>
      </c>
      <c r="AB306" s="30" t="str">
        <f>_xlfn.XLOOKUP(Table5[[#This Row],[RiderID]], Rider_Directory!$F$2:$F$26, Rider_Directory!$B$2:$B$26)</f>
        <v>Lalitpur</v>
      </c>
      <c r="AC306" s="30" t="str" cm="1">
        <f t="array" ref="AC306">_xlfn.IFS(Table5[[#This Row],[Final Amount]]&lt;500, "Small", Table5[[#This Row],[Final Amount]]&lt;=1000, "Medium", Table5[[#This Row],[Final Amount]]&gt;1000, "Large")</f>
        <v>Small</v>
      </c>
      <c r="AD306" s="30" t="str">
        <f>_xlfn.LET(_xlpm.expiry,_xlfn.XLOOKUP(Table5[[#This Row],[PromoCode]],Promo_Codes!$A$2:$A$9,Promo_Codes!$F$2:$F$9,DATE(2099,1,1)),IF(Table5[[#This Row],[OrderDate]]&gt;_xlpm.expiry,"Expired Code Used","Valid"))</f>
        <v>Expired Code Used</v>
      </c>
    </row>
    <row r="307" spans="1:30" x14ac:dyDescent="0.3">
      <c r="A307" s="28" t="s">
        <v>859</v>
      </c>
      <c r="B307" s="27">
        <v>46042</v>
      </c>
      <c r="C307" s="28" t="s">
        <v>860</v>
      </c>
      <c r="D307" s="28" t="s">
        <v>1267</v>
      </c>
      <c r="E307" s="27">
        <v>45950</v>
      </c>
      <c r="F307" s="27" t="str">
        <f t="shared" si="12"/>
        <v>Returning</v>
      </c>
      <c r="G307" s="28" t="s">
        <v>123</v>
      </c>
      <c r="H307" s="28" t="s">
        <v>136</v>
      </c>
      <c r="I307" s="28" t="s">
        <v>137</v>
      </c>
      <c r="J307" s="28" t="s">
        <v>193</v>
      </c>
      <c r="K307" s="29">
        <v>1</v>
      </c>
      <c r="L307" s="28" t="s">
        <v>290</v>
      </c>
      <c r="M307" s="28" t="s">
        <v>247</v>
      </c>
      <c r="N307" s="28"/>
      <c r="O307" s="28" t="s">
        <v>130</v>
      </c>
      <c r="P307" s="28" t="str">
        <f t="shared" si="13"/>
        <v/>
      </c>
      <c r="Q307" s="29">
        <v>5</v>
      </c>
      <c r="R307" s="29">
        <v>26</v>
      </c>
      <c r="S307" s="28"/>
      <c r="T307" s="30" t="str">
        <f>_xlfn.CONCAT(Table5[[#This Row],[OrderID]]," | ",Table5[[#This Row],[City]]," | ",Table5[[#This Row],[ItemName]])</f>
        <v xml:space="preserve">ORD-1303 | Biratnagar | Chicken Thakali Set  </v>
      </c>
      <c r="U307" s="30" t="str">
        <f>UPPER(Table5[[#This Row],[City]])</f>
        <v>BIRATNAGAR</v>
      </c>
      <c r="V307" s="30" t="str">
        <f>LOWER(Table5[[#This Row],[PaymentMethod]])</f>
        <v>ime pay</v>
      </c>
      <c r="W307" s="30" cm="1">
        <f t="array" ref="W307">_xlfn.XLOOKUP(TRIM(Table5[[#This Row],[ItemName]]), TRIM(Menu_Price_List_tbl[ItemName]),Menu_Price_List_tbl[UnitPrice_NPR])</f>
        <v>480</v>
      </c>
      <c r="X307" s="31">
        <f t="shared" si="14"/>
        <v>480</v>
      </c>
      <c r="Y307" s="30">
        <f>_xlfn.XLOOKUP(Table5[[#This Row],[City]],City_Delivery_Fee_tbl[City],City_Delivery_Fee_tbl[BaseDeliveryFee_NPR])</f>
        <v>90</v>
      </c>
      <c r="Z30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07" s="31">
        <f>Table5[[#This Row],[Order Amount]]+Table5[[#This Row],[Delivery Fee]]-Table5[[#This Row],[Discount Amount]]</f>
        <v>570</v>
      </c>
      <c r="AB307" s="30" t="str">
        <f>_xlfn.XLOOKUP(Table5[[#This Row],[RiderID]], Rider_Directory!$F$2:$F$26, Rider_Directory!$B$2:$B$26)</f>
        <v>Biratnagar</v>
      </c>
      <c r="AC307" s="30" t="str" cm="1">
        <f t="array" ref="AC307">_xlfn.IFS(Table5[[#This Row],[Final Amount]]&lt;500, "Small", Table5[[#This Row],[Final Amount]]&lt;=1000, "Medium", Table5[[#This Row],[Final Amount]]&gt;1000, "Large")</f>
        <v>Medium</v>
      </c>
      <c r="AD307" s="30" t="str">
        <f>_xlfn.LET(_xlpm.expiry,_xlfn.XLOOKUP(Table5[[#This Row],[PromoCode]],Promo_Codes!$A$2:$A$9,Promo_Codes!$F$2:$F$9,DATE(2099,1,1)),IF(Table5[[#This Row],[OrderDate]]&gt;_xlpm.expiry,"Expired Code Used","Valid"))</f>
        <v>Valid</v>
      </c>
    </row>
    <row r="308" spans="1:30" x14ac:dyDescent="0.3">
      <c r="A308" s="28" t="s">
        <v>992</v>
      </c>
      <c r="B308" s="27">
        <v>46043</v>
      </c>
      <c r="C308" s="28" t="s">
        <v>896</v>
      </c>
      <c r="D308" s="28" t="s">
        <v>1221</v>
      </c>
      <c r="E308" s="27">
        <v>45947</v>
      </c>
      <c r="F308" s="27" t="str">
        <f t="shared" si="12"/>
        <v>Returning</v>
      </c>
      <c r="G308" s="28" t="s">
        <v>206</v>
      </c>
      <c r="H308" s="28" t="s">
        <v>331</v>
      </c>
      <c r="I308" s="28" t="s">
        <v>164</v>
      </c>
      <c r="J308" s="28" t="s">
        <v>393</v>
      </c>
      <c r="K308" s="29">
        <v>1</v>
      </c>
      <c r="L308" s="28" t="s">
        <v>358</v>
      </c>
      <c r="M308" s="28" t="s">
        <v>140</v>
      </c>
      <c r="N308" s="28"/>
      <c r="O308" s="28" t="s">
        <v>130</v>
      </c>
      <c r="P308" s="28" t="str">
        <f t="shared" si="13"/>
        <v/>
      </c>
      <c r="Q308" s="29">
        <v>4</v>
      </c>
      <c r="R308" s="29">
        <v>44</v>
      </c>
      <c r="S308" s="28" t="s">
        <v>291</v>
      </c>
      <c r="T308" s="30" t="str">
        <f>_xlfn.CONCAT(Table5[[#This Row],[OrderID]]," | ",Table5[[#This Row],[City]]," | ",Table5[[#This Row],[ItemName]])</f>
        <v>ORD-1304 | Pokhara | Lemon Soda</v>
      </c>
      <c r="U308" s="30" t="str">
        <f>UPPER(Table5[[#This Row],[City]])</f>
        <v>POKHARA</v>
      </c>
      <c r="V308" s="30" t="str">
        <f>LOWER(Table5[[#This Row],[PaymentMethod]])</f>
        <v>cash on delivery</v>
      </c>
      <c r="W308" s="30" cm="1">
        <f t="array" ref="W308">_xlfn.XLOOKUP(TRIM(Table5[[#This Row],[ItemName]]), TRIM(Menu_Price_List_tbl[ItemName]),Menu_Price_List_tbl[UnitPrice_NPR])</f>
        <v>100</v>
      </c>
      <c r="X308" s="31">
        <f t="shared" si="14"/>
        <v>100</v>
      </c>
      <c r="Y308" s="30">
        <f>_xlfn.XLOOKUP(Table5[[#This Row],[City]],City_Delivery_Fee_tbl[City],City_Delivery_Fee_tbl[BaseDeliveryFee_NPR])</f>
        <v>70</v>
      </c>
      <c r="Z30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08" s="31">
        <f>Table5[[#This Row],[Order Amount]]+Table5[[#This Row],[Delivery Fee]]-Table5[[#This Row],[Discount Amount]]</f>
        <v>170</v>
      </c>
      <c r="AB308" s="30" t="str">
        <f>_xlfn.XLOOKUP(Table5[[#This Row],[RiderID]], Rider_Directory!$F$2:$F$26, Rider_Directory!$B$2:$B$26)</f>
        <v>Pokhara</v>
      </c>
      <c r="AC308" s="30" t="str" cm="1">
        <f t="array" ref="AC308">_xlfn.IFS(Table5[[#This Row],[Final Amount]]&lt;500, "Small", Table5[[#This Row],[Final Amount]]&lt;=1000, "Medium", Table5[[#This Row],[Final Amount]]&gt;1000, "Large")</f>
        <v>Small</v>
      </c>
      <c r="AD308" s="30" t="str">
        <f>_xlfn.LET(_xlpm.expiry,_xlfn.XLOOKUP(Table5[[#This Row],[PromoCode]],Promo_Codes!$A$2:$A$9,Promo_Codes!$F$2:$F$9,DATE(2099,1,1)),IF(Table5[[#This Row],[OrderDate]]&gt;_xlpm.expiry,"Expired Code Used","Valid"))</f>
        <v>Valid</v>
      </c>
    </row>
    <row r="309" spans="1:30" x14ac:dyDescent="0.3">
      <c r="A309" s="28" t="s">
        <v>1027</v>
      </c>
      <c r="B309" s="27">
        <v>46046</v>
      </c>
      <c r="C309" s="28" t="s">
        <v>610</v>
      </c>
      <c r="D309" s="28" t="s">
        <v>1238</v>
      </c>
      <c r="E309" s="27">
        <v>45916</v>
      </c>
      <c r="F309" s="27" t="str">
        <f t="shared" si="12"/>
        <v>Returning</v>
      </c>
      <c r="G309" s="28" t="s">
        <v>259</v>
      </c>
      <c r="H309" s="28" t="s">
        <v>350</v>
      </c>
      <c r="I309" s="28" t="s">
        <v>351</v>
      </c>
      <c r="J309" s="28" t="s">
        <v>352</v>
      </c>
      <c r="K309" s="29">
        <v>4</v>
      </c>
      <c r="L309" s="28" t="s">
        <v>474</v>
      </c>
      <c r="M309" s="28" t="s">
        <v>140</v>
      </c>
      <c r="N309" s="28"/>
      <c r="O309" s="28" t="s">
        <v>235</v>
      </c>
      <c r="P309" s="28" t="str">
        <f t="shared" si="13"/>
        <v/>
      </c>
      <c r="Q309" s="28"/>
      <c r="R309" s="29">
        <v>46</v>
      </c>
      <c r="S309" s="28"/>
      <c r="T309" s="30" t="str">
        <f>_xlfn.CONCAT(Table5[[#This Row],[OrderID]]," | ",Table5[[#This Row],[City]]," | ",Table5[[#This Row],[ItemName]])</f>
        <v>ORD-1305 | Dharan | Buff Sekuwa</v>
      </c>
      <c r="U309" s="30" t="str">
        <f>UPPER(Table5[[#This Row],[City]])</f>
        <v>DHARAN</v>
      </c>
      <c r="V309" s="30" t="str">
        <f>LOWER(Table5[[#This Row],[PaymentMethod]])</f>
        <v>cash on delivery</v>
      </c>
      <c r="W309" s="30" cm="1">
        <f t="array" ref="W309">_xlfn.XLOOKUP(TRIM(Table5[[#This Row],[ItemName]]), TRIM(Menu_Price_List_tbl[ItemName]),Menu_Price_List_tbl[UnitPrice_NPR])</f>
        <v>380</v>
      </c>
      <c r="X309" s="31">
        <f t="shared" si="14"/>
        <v>1520</v>
      </c>
      <c r="Y309" s="30">
        <f>_xlfn.XLOOKUP(Table5[[#This Row],[City]],City_Delivery_Fee_tbl[City],City_Delivery_Fee_tbl[BaseDeliveryFee_NPR])</f>
        <v>95</v>
      </c>
      <c r="Z30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09" s="31">
        <f>Table5[[#This Row],[Order Amount]]+Table5[[#This Row],[Delivery Fee]]-Table5[[#This Row],[Discount Amount]]</f>
        <v>1615</v>
      </c>
      <c r="AB309" s="30" t="str">
        <f>_xlfn.XLOOKUP(Table5[[#This Row],[RiderID]], Rider_Directory!$F$2:$F$26, Rider_Directory!$B$2:$B$26)</f>
        <v>Dharan</v>
      </c>
      <c r="AC309" s="30" t="str" cm="1">
        <f t="array" ref="AC309">_xlfn.IFS(Table5[[#This Row],[Final Amount]]&lt;500, "Small", Table5[[#This Row],[Final Amount]]&lt;=1000, "Medium", Table5[[#This Row],[Final Amount]]&gt;1000, "Large")</f>
        <v>Large</v>
      </c>
      <c r="AD309" s="30" t="str">
        <f>_xlfn.LET(_xlpm.expiry,_xlfn.XLOOKUP(Table5[[#This Row],[PromoCode]],Promo_Codes!$A$2:$A$9,Promo_Codes!$F$2:$F$9,DATE(2099,1,1)),IF(Table5[[#This Row],[OrderDate]]&gt;_xlpm.expiry,"Expired Code Used","Valid"))</f>
        <v>Valid</v>
      </c>
    </row>
    <row r="310" spans="1:30" x14ac:dyDescent="0.3">
      <c r="A310" s="28" t="s">
        <v>791</v>
      </c>
      <c r="B310" s="27">
        <v>46046</v>
      </c>
      <c r="C310" s="28" t="s">
        <v>1147</v>
      </c>
      <c r="D310" s="28" t="s">
        <v>1265</v>
      </c>
      <c r="E310" s="27">
        <v>45955</v>
      </c>
      <c r="F310" s="27" t="str">
        <f t="shared" si="12"/>
        <v>Returning</v>
      </c>
      <c r="G310" s="28" t="s">
        <v>177</v>
      </c>
      <c r="H310" s="28" t="s">
        <v>178</v>
      </c>
      <c r="I310" s="28" t="s">
        <v>179</v>
      </c>
      <c r="J310" s="28" t="s">
        <v>368</v>
      </c>
      <c r="K310" s="29">
        <v>1</v>
      </c>
      <c r="L310" s="28" t="s">
        <v>713</v>
      </c>
      <c r="M310" s="28" t="s">
        <v>128</v>
      </c>
      <c r="N310" s="28"/>
      <c r="O310" s="28" t="s">
        <v>130</v>
      </c>
      <c r="P310" s="28" t="str">
        <f t="shared" si="13"/>
        <v/>
      </c>
      <c r="Q310" s="29">
        <v>5</v>
      </c>
      <c r="R310" s="29">
        <v>35</v>
      </c>
      <c r="S310" s="28"/>
      <c r="T310" s="30" t="str">
        <f>_xlfn.CONCAT(Table5[[#This Row],[OrderID]]," | ",Table5[[#This Row],[City]]," | ",Table5[[#This Row],[ItemName]])</f>
        <v>ORD-1306 | Bhaktapur | Veg Burger</v>
      </c>
      <c r="U310" s="30" t="str">
        <f>UPPER(Table5[[#This Row],[City]])</f>
        <v>BHAKTAPUR</v>
      </c>
      <c r="V310" s="30" t="str">
        <f>LOWER(Table5[[#This Row],[PaymentMethod]])</f>
        <v>esewa</v>
      </c>
      <c r="W310" s="30" cm="1">
        <f t="array" ref="W310">_xlfn.XLOOKUP(TRIM(Table5[[#This Row],[ItemName]]), TRIM(Menu_Price_List_tbl[ItemName]),Menu_Price_List_tbl[UnitPrice_NPR])</f>
        <v>220</v>
      </c>
      <c r="X310" s="31">
        <f t="shared" si="14"/>
        <v>220</v>
      </c>
      <c r="Y310" s="30">
        <f>_xlfn.XLOOKUP(Table5[[#This Row],[City]],City_Delivery_Fee_tbl[City],City_Delivery_Fee_tbl[BaseDeliveryFee_NPR])</f>
        <v>55</v>
      </c>
      <c r="Z31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10" s="31">
        <f>Table5[[#This Row],[Order Amount]]+Table5[[#This Row],[Delivery Fee]]-Table5[[#This Row],[Discount Amount]]</f>
        <v>275</v>
      </c>
      <c r="AB310" s="30" t="str">
        <f>_xlfn.XLOOKUP(Table5[[#This Row],[RiderID]], Rider_Directory!$F$2:$F$26, Rider_Directory!$B$2:$B$26)</f>
        <v>Bhaktapur</v>
      </c>
      <c r="AC310" s="30" t="str" cm="1">
        <f t="array" ref="AC310">_xlfn.IFS(Table5[[#This Row],[Final Amount]]&lt;500, "Small", Table5[[#This Row],[Final Amount]]&lt;=1000, "Medium", Table5[[#This Row],[Final Amount]]&gt;1000, "Large")</f>
        <v>Small</v>
      </c>
      <c r="AD310" s="30" t="str">
        <f>_xlfn.LET(_xlpm.expiry,_xlfn.XLOOKUP(Table5[[#This Row],[PromoCode]],Promo_Codes!$A$2:$A$9,Promo_Codes!$F$2:$F$9,DATE(2099,1,1)),IF(Table5[[#This Row],[OrderDate]]&gt;_xlpm.expiry,"Expired Code Used","Valid"))</f>
        <v>Valid</v>
      </c>
    </row>
    <row r="311" spans="1:30" x14ac:dyDescent="0.3">
      <c r="A311" s="28" t="s">
        <v>120</v>
      </c>
      <c r="B311" s="27">
        <v>46046</v>
      </c>
      <c r="C311" s="28" t="s">
        <v>121</v>
      </c>
      <c r="D311" s="28" t="s">
        <v>1159</v>
      </c>
      <c r="E311" s="27">
        <v>45955</v>
      </c>
      <c r="F311" s="27" t="str">
        <f t="shared" si="12"/>
        <v>Returning</v>
      </c>
      <c r="G311" s="28" t="s">
        <v>123</v>
      </c>
      <c r="H311" s="28" t="s">
        <v>124</v>
      </c>
      <c r="I311" s="28" t="s">
        <v>125</v>
      </c>
      <c r="J311" s="28" t="s">
        <v>126</v>
      </c>
      <c r="K311" s="29">
        <v>2</v>
      </c>
      <c r="L311" s="28" t="s">
        <v>127</v>
      </c>
      <c r="M311" s="28" t="s">
        <v>128</v>
      </c>
      <c r="N311" s="28" t="s">
        <v>129</v>
      </c>
      <c r="O311" s="28" t="s">
        <v>130</v>
      </c>
      <c r="P311" s="28" t="str">
        <f t="shared" si="13"/>
        <v/>
      </c>
      <c r="Q311" s="29">
        <v>4</v>
      </c>
      <c r="R311" s="29">
        <v>36</v>
      </c>
      <c r="S311" s="28" t="s">
        <v>131</v>
      </c>
      <c r="T311" s="30" t="str">
        <f>_xlfn.CONCAT(Table5[[#This Row],[OrderID]]," | ",Table5[[#This Row],[City]]," | ",Table5[[#This Row],[ItemName]])</f>
        <v>ORD-1307 | Biratnagar | Bara</v>
      </c>
      <c r="U311" s="30" t="str">
        <f>UPPER(Table5[[#This Row],[City]])</f>
        <v>BIRATNAGAR</v>
      </c>
      <c r="V311" s="30" t="str">
        <f>LOWER(Table5[[#This Row],[PaymentMethod]])</f>
        <v>esewa</v>
      </c>
      <c r="W311" s="30" cm="1">
        <f t="array" ref="W311">_xlfn.XLOOKUP(TRIM(Table5[[#This Row],[ItemName]]), TRIM(Menu_Price_List_tbl[ItemName]),Menu_Price_List_tbl[UnitPrice_NPR])</f>
        <v>160</v>
      </c>
      <c r="X311" s="31">
        <f t="shared" si="14"/>
        <v>320</v>
      </c>
      <c r="Y311" s="30">
        <f>_xlfn.XLOOKUP(Table5[[#This Row],[City]],City_Delivery_Fee_tbl[City],City_Delivery_Fee_tbl[BaseDeliveryFee_NPR])</f>
        <v>90</v>
      </c>
      <c r="Z31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100</v>
      </c>
      <c r="AA311" s="31">
        <f>Table5[[#This Row],[Order Amount]]+Table5[[#This Row],[Delivery Fee]]-Table5[[#This Row],[Discount Amount]]</f>
        <v>310</v>
      </c>
      <c r="AB311" s="30" t="str">
        <f>_xlfn.XLOOKUP(Table5[[#This Row],[RiderID]], Rider_Directory!$F$2:$F$26, Rider_Directory!$B$2:$B$26)</f>
        <v>Biratnagar</v>
      </c>
      <c r="AC311" s="30" t="str" cm="1">
        <f t="array" ref="AC311">_xlfn.IFS(Table5[[#This Row],[Final Amount]]&lt;500, "Small", Table5[[#This Row],[Final Amount]]&lt;=1000, "Medium", Table5[[#This Row],[Final Amount]]&gt;1000, "Large")</f>
        <v>Small</v>
      </c>
      <c r="AD311" s="30" t="str">
        <f>_xlfn.LET(_xlpm.expiry,_xlfn.XLOOKUP(Table5[[#This Row],[PromoCode]],Promo_Codes!$A$2:$A$9,Promo_Codes!$F$2:$F$9,DATE(2099,1,1)),IF(Table5[[#This Row],[OrderDate]]&gt;_xlpm.expiry,"Expired Code Used","Valid"))</f>
        <v>Expired Code Used</v>
      </c>
    </row>
    <row r="312" spans="1:30" x14ac:dyDescent="0.3">
      <c r="A312" s="28" t="s">
        <v>142</v>
      </c>
      <c r="B312" s="27">
        <v>46047</v>
      </c>
      <c r="C312" s="28" t="s">
        <v>143</v>
      </c>
      <c r="D312" s="28" t="s">
        <v>1161</v>
      </c>
      <c r="E312" s="27">
        <v>46030</v>
      </c>
      <c r="F312" s="27" t="str">
        <f t="shared" si="12"/>
        <v>Returning</v>
      </c>
      <c r="G312" s="28" t="s">
        <v>145</v>
      </c>
      <c r="H312" s="28" t="s">
        <v>146</v>
      </c>
      <c r="I312" s="28" t="s">
        <v>147</v>
      </c>
      <c r="J312" s="28" t="s">
        <v>148</v>
      </c>
      <c r="K312" s="29">
        <v>1</v>
      </c>
      <c r="L312" s="28" t="s">
        <v>149</v>
      </c>
      <c r="M312" s="28" t="s">
        <v>128</v>
      </c>
      <c r="N312" s="28"/>
      <c r="O312" s="28" t="s">
        <v>130</v>
      </c>
      <c r="P312" s="28" t="str">
        <f t="shared" si="13"/>
        <v/>
      </c>
      <c r="Q312" s="29">
        <v>2</v>
      </c>
      <c r="R312" s="29">
        <v>57</v>
      </c>
      <c r="S312" s="28" t="s">
        <v>150</v>
      </c>
      <c r="T312" s="30" t="str">
        <f>_xlfn.CONCAT(Table5[[#This Row],[OrderID]]," | ",Table5[[#This Row],[City]]," | ",Table5[[#This Row],[ItemName]])</f>
        <v>ORD-1308 | Chitwan | Barfi (5 pcs)</v>
      </c>
      <c r="U312" s="30" t="str">
        <f>UPPER(Table5[[#This Row],[City]])</f>
        <v>CHITWAN</v>
      </c>
      <c r="V312" s="30" t="str">
        <f>LOWER(Table5[[#This Row],[PaymentMethod]])</f>
        <v>esewa</v>
      </c>
      <c r="W312" s="30" cm="1">
        <f t="array" ref="W312">_xlfn.XLOOKUP(TRIM(Table5[[#This Row],[ItemName]]), TRIM(Menu_Price_List_tbl[ItemName]),Menu_Price_List_tbl[UnitPrice_NPR])</f>
        <v>220</v>
      </c>
      <c r="X312" s="31">
        <f t="shared" si="14"/>
        <v>220</v>
      </c>
      <c r="Y312" s="30">
        <f>_xlfn.XLOOKUP(Table5[[#This Row],[City]],City_Delivery_Fee_tbl[City],City_Delivery_Fee_tbl[BaseDeliveryFee_NPR])</f>
        <v>80</v>
      </c>
      <c r="Z31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12" s="31">
        <f>Table5[[#This Row],[Order Amount]]+Table5[[#This Row],[Delivery Fee]]-Table5[[#This Row],[Discount Amount]]</f>
        <v>300</v>
      </c>
      <c r="AB312" s="30" t="str">
        <f>_xlfn.XLOOKUP(Table5[[#This Row],[RiderID]], Rider_Directory!$F$2:$F$26, Rider_Directory!$B$2:$B$26)</f>
        <v>Chitwan</v>
      </c>
      <c r="AC312" s="30" t="str" cm="1">
        <f t="array" ref="AC312">_xlfn.IFS(Table5[[#This Row],[Final Amount]]&lt;500, "Small", Table5[[#This Row],[Final Amount]]&lt;=1000, "Medium", Table5[[#This Row],[Final Amount]]&gt;1000, "Large")</f>
        <v>Small</v>
      </c>
      <c r="AD312" s="30" t="str">
        <f>_xlfn.LET(_xlpm.expiry,_xlfn.XLOOKUP(Table5[[#This Row],[PromoCode]],Promo_Codes!$A$2:$A$9,Promo_Codes!$F$2:$F$9,DATE(2099,1,1)),IF(Table5[[#This Row],[OrderDate]]&gt;_xlpm.expiry,"Expired Code Used","Valid"))</f>
        <v>Valid</v>
      </c>
    </row>
    <row r="313" spans="1:30" x14ac:dyDescent="0.3">
      <c r="A313" s="28" t="s">
        <v>337</v>
      </c>
      <c r="B313" s="27">
        <v>46047</v>
      </c>
      <c r="C313" s="28" t="s">
        <v>338</v>
      </c>
      <c r="D313" s="28" t="s">
        <v>1191</v>
      </c>
      <c r="E313" s="27">
        <v>45964</v>
      </c>
      <c r="F313" s="27" t="str">
        <f t="shared" si="12"/>
        <v>Returning</v>
      </c>
      <c r="G313" s="28" t="s">
        <v>123</v>
      </c>
      <c r="H313" s="28" t="s">
        <v>339</v>
      </c>
      <c r="I313" s="28" t="s">
        <v>233</v>
      </c>
      <c r="J313" s="28" t="s">
        <v>246</v>
      </c>
      <c r="K313" s="29">
        <v>2</v>
      </c>
      <c r="L313" s="28" t="s">
        <v>290</v>
      </c>
      <c r="M313" s="28" t="s">
        <v>140</v>
      </c>
      <c r="N313" s="28" t="s">
        <v>336</v>
      </c>
      <c r="O313" s="28" t="s">
        <v>130</v>
      </c>
      <c r="P313" s="28" t="str">
        <f t="shared" si="13"/>
        <v/>
      </c>
      <c r="Q313" s="29">
        <v>4</v>
      </c>
      <c r="R313" s="29">
        <v>36</v>
      </c>
      <c r="S313" s="28"/>
      <c r="T313" s="30" t="str">
        <f>_xlfn.CONCAT(Table5[[#This Row],[OrderID]]," | ",Table5[[#This Row],[City]]," | ",Table5[[#This Row],[ItemName]])</f>
        <v>ORD-1309 | Biratnagar | Chicken Momo (Fried)</v>
      </c>
      <c r="U313" s="30" t="str">
        <f>UPPER(Table5[[#This Row],[City]])</f>
        <v>BIRATNAGAR</v>
      </c>
      <c r="V313" s="30" t="str">
        <f>LOWER(Table5[[#This Row],[PaymentMethod]])</f>
        <v>cash on delivery</v>
      </c>
      <c r="W313" s="30" cm="1">
        <f t="array" ref="W313">_xlfn.XLOOKUP(TRIM(Table5[[#This Row],[ItemName]]), TRIM(Menu_Price_List_tbl[ItemName]),Menu_Price_List_tbl[UnitPrice_NPR])</f>
        <v>210</v>
      </c>
      <c r="X313" s="31">
        <f t="shared" si="14"/>
        <v>420</v>
      </c>
      <c r="Y313" s="30">
        <f>_xlfn.XLOOKUP(Table5[[#This Row],[City]],City_Delivery_Fee_tbl[City],City_Delivery_Fee_tbl[BaseDeliveryFee_NPR])</f>
        <v>90</v>
      </c>
      <c r="Z31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313" s="31">
        <f>Table5[[#This Row],[Order Amount]]+Table5[[#This Row],[Delivery Fee]]-Table5[[#This Row],[Discount Amount]]</f>
        <v>460</v>
      </c>
      <c r="AB313" s="30" t="str">
        <f>_xlfn.XLOOKUP(Table5[[#This Row],[RiderID]], Rider_Directory!$F$2:$F$26, Rider_Directory!$B$2:$B$26)</f>
        <v>Biratnagar</v>
      </c>
      <c r="AC313" s="30" t="str" cm="1">
        <f t="array" ref="AC313">_xlfn.IFS(Table5[[#This Row],[Final Amount]]&lt;500, "Small", Table5[[#This Row],[Final Amount]]&lt;=1000, "Medium", Table5[[#This Row],[Final Amount]]&gt;1000, "Large")</f>
        <v>Small</v>
      </c>
      <c r="AD313" s="30" t="str">
        <f>_xlfn.LET(_xlpm.expiry,_xlfn.XLOOKUP(Table5[[#This Row],[PromoCode]],Promo_Codes!$A$2:$A$9,Promo_Codes!$F$2:$F$9,DATE(2099,1,1)),IF(Table5[[#This Row],[OrderDate]]&gt;_xlpm.expiry,"Expired Code Used","Valid"))</f>
        <v>Valid</v>
      </c>
    </row>
    <row r="314" spans="1:30" x14ac:dyDescent="0.3">
      <c r="A314" s="28" t="s">
        <v>690</v>
      </c>
      <c r="B314" s="27">
        <v>46047</v>
      </c>
      <c r="C314" s="28" t="s">
        <v>1139</v>
      </c>
      <c r="D314" s="28" t="s">
        <v>1251</v>
      </c>
      <c r="E314" s="27">
        <v>45960</v>
      </c>
      <c r="F314" s="27" t="str">
        <f t="shared" si="12"/>
        <v>Returning</v>
      </c>
      <c r="G314" s="28" t="s">
        <v>206</v>
      </c>
      <c r="H314" s="28" t="s">
        <v>178</v>
      </c>
      <c r="I314" s="28" t="s">
        <v>179</v>
      </c>
      <c r="J314" s="28" t="s">
        <v>693</v>
      </c>
      <c r="K314" s="29">
        <v>1</v>
      </c>
      <c r="L314" s="28" t="s">
        <v>358</v>
      </c>
      <c r="M314" s="28" t="s">
        <v>140</v>
      </c>
      <c r="N314" s="28"/>
      <c r="O314" s="28" t="s">
        <v>130</v>
      </c>
      <c r="P314" s="28" t="str">
        <f t="shared" si="13"/>
        <v/>
      </c>
      <c r="Q314" s="29">
        <v>5</v>
      </c>
      <c r="R314" s="29">
        <v>610</v>
      </c>
      <c r="S314" s="28"/>
      <c r="T314" s="30" t="str">
        <f>_xlfn.CONCAT(Table5[[#This Row],[OrderID]]," | ",Table5[[#This Row],[City]]," | ",Table5[[#This Row],[ItemName]])</f>
        <v>ORD-1310 | Pokhara | MARGHERITA PIZZA</v>
      </c>
      <c r="U314" s="30" t="str">
        <f>UPPER(Table5[[#This Row],[City]])</f>
        <v>POKHARA</v>
      </c>
      <c r="V314" s="30" t="str">
        <f>LOWER(Table5[[#This Row],[PaymentMethod]])</f>
        <v>cash on delivery</v>
      </c>
      <c r="W314" s="30" cm="1">
        <f t="array" ref="W314">_xlfn.XLOOKUP(TRIM(Table5[[#This Row],[ItemName]]), TRIM(Menu_Price_List_tbl[ItemName]),Menu_Price_List_tbl[UnitPrice_NPR])</f>
        <v>550</v>
      </c>
      <c r="X314" s="31">
        <f t="shared" si="14"/>
        <v>550</v>
      </c>
      <c r="Y314" s="30">
        <f>_xlfn.XLOOKUP(Table5[[#This Row],[City]],City_Delivery_Fee_tbl[City],City_Delivery_Fee_tbl[BaseDeliveryFee_NPR])</f>
        <v>70</v>
      </c>
      <c r="Z31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14" s="31">
        <f>Table5[[#This Row],[Order Amount]]+Table5[[#This Row],[Delivery Fee]]-Table5[[#This Row],[Discount Amount]]</f>
        <v>620</v>
      </c>
      <c r="AB314" s="30" t="str">
        <f>_xlfn.XLOOKUP(Table5[[#This Row],[RiderID]], Rider_Directory!$F$2:$F$26, Rider_Directory!$B$2:$B$26)</f>
        <v>Pokhara</v>
      </c>
      <c r="AC314" s="30" t="str" cm="1">
        <f t="array" ref="AC314">_xlfn.IFS(Table5[[#This Row],[Final Amount]]&lt;500, "Small", Table5[[#This Row],[Final Amount]]&lt;=1000, "Medium", Table5[[#This Row],[Final Amount]]&gt;1000, "Large")</f>
        <v>Medium</v>
      </c>
      <c r="AD314" s="30" t="str">
        <f>_xlfn.LET(_xlpm.expiry,_xlfn.XLOOKUP(Table5[[#This Row],[PromoCode]],Promo_Codes!$A$2:$A$9,Promo_Codes!$F$2:$F$9,DATE(2099,1,1)),IF(Table5[[#This Row],[OrderDate]]&gt;_xlpm.expiry,"Expired Code Used","Valid"))</f>
        <v>Valid</v>
      </c>
    </row>
    <row r="315" spans="1:30" x14ac:dyDescent="0.3">
      <c r="A315" s="28" t="s">
        <v>214</v>
      </c>
      <c r="B315" s="27">
        <v>46048</v>
      </c>
      <c r="C315" s="28" t="s">
        <v>215</v>
      </c>
      <c r="D315" s="28" t="s">
        <v>1169</v>
      </c>
      <c r="E315" s="27">
        <v>45957</v>
      </c>
      <c r="F315" s="27" t="str">
        <f t="shared" si="12"/>
        <v>Returning</v>
      </c>
      <c r="G315" s="28" t="s">
        <v>135</v>
      </c>
      <c r="H315" s="28" t="s">
        <v>216</v>
      </c>
      <c r="I315" s="28" t="s">
        <v>125</v>
      </c>
      <c r="J315" s="28" t="s">
        <v>217</v>
      </c>
      <c r="K315" s="29">
        <v>3</v>
      </c>
      <c r="L315" s="28" t="s">
        <v>218</v>
      </c>
      <c r="M315" s="28" t="s">
        <v>128</v>
      </c>
      <c r="N315" s="28"/>
      <c r="O315" s="28" t="s">
        <v>130</v>
      </c>
      <c r="P315" s="28" t="str">
        <f t="shared" si="13"/>
        <v/>
      </c>
      <c r="Q315" s="29">
        <v>4</v>
      </c>
      <c r="R315" s="29">
        <v>34</v>
      </c>
      <c r="S315" s="28" t="s">
        <v>202</v>
      </c>
      <c r="T315" s="30" t="str">
        <f>_xlfn.CONCAT(Table5[[#This Row],[OrderID]]," | ",Table5[[#This Row],[City]]," | ",Table5[[#This Row],[ItemName]])</f>
        <v>ORD-1311 | Kathmandu | Chatamari</v>
      </c>
      <c r="U315" s="30" t="str">
        <f>UPPER(Table5[[#This Row],[City]])</f>
        <v>KATHMANDU</v>
      </c>
      <c r="V315" s="30" t="str">
        <f>LOWER(Table5[[#This Row],[PaymentMethod]])</f>
        <v>esewa</v>
      </c>
      <c r="W315" s="30" cm="1">
        <f t="array" ref="W315">_xlfn.XLOOKUP(TRIM(Table5[[#This Row],[ItemName]]), TRIM(Menu_Price_List_tbl[ItemName]),Menu_Price_List_tbl[UnitPrice_NPR])</f>
        <v>210</v>
      </c>
      <c r="X315" s="31">
        <f t="shared" si="14"/>
        <v>630</v>
      </c>
      <c r="Y315" s="30">
        <f>_xlfn.XLOOKUP(Table5[[#This Row],[City]],City_Delivery_Fee_tbl[City],City_Delivery_Fee_tbl[BaseDeliveryFee_NPR])</f>
        <v>50</v>
      </c>
      <c r="Z31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15" s="31">
        <f>Table5[[#This Row],[Order Amount]]+Table5[[#This Row],[Delivery Fee]]-Table5[[#This Row],[Discount Amount]]</f>
        <v>680</v>
      </c>
      <c r="AB315" s="30" t="str">
        <f>_xlfn.XLOOKUP(Table5[[#This Row],[RiderID]], Rider_Directory!$F$2:$F$26, Rider_Directory!$B$2:$B$26)</f>
        <v>Kathmandu</v>
      </c>
      <c r="AC315" s="30" t="str" cm="1">
        <f t="array" ref="AC315">_xlfn.IFS(Table5[[#This Row],[Final Amount]]&lt;500, "Small", Table5[[#This Row],[Final Amount]]&lt;=1000, "Medium", Table5[[#This Row],[Final Amount]]&gt;1000, "Large")</f>
        <v>Medium</v>
      </c>
      <c r="AD315" s="30" t="str">
        <f>_xlfn.LET(_xlpm.expiry,_xlfn.XLOOKUP(Table5[[#This Row],[PromoCode]],Promo_Codes!$A$2:$A$9,Promo_Codes!$F$2:$F$9,DATE(2099,1,1)),IF(Table5[[#This Row],[OrderDate]]&gt;_xlpm.expiry,"Expired Code Used","Valid"))</f>
        <v>Valid</v>
      </c>
    </row>
    <row r="316" spans="1:30" x14ac:dyDescent="0.3">
      <c r="A316" s="28" t="s">
        <v>979</v>
      </c>
      <c r="B316" s="27">
        <v>46048</v>
      </c>
      <c r="C316" s="28" t="s">
        <v>872</v>
      </c>
      <c r="D316" s="28" t="s">
        <v>1225</v>
      </c>
      <c r="E316" s="27">
        <v>45891</v>
      </c>
      <c r="F316" s="27" t="str">
        <f t="shared" si="12"/>
        <v>Returning</v>
      </c>
      <c r="G316" s="28" t="s">
        <v>198</v>
      </c>
      <c r="H316" s="28" t="s">
        <v>178</v>
      </c>
      <c r="I316" s="28" t="s">
        <v>179</v>
      </c>
      <c r="J316" s="28" t="s">
        <v>980</v>
      </c>
      <c r="K316" s="29">
        <v>1</v>
      </c>
      <c r="L316" s="28" t="s">
        <v>213</v>
      </c>
      <c r="M316" s="28" t="s">
        <v>140</v>
      </c>
      <c r="N316" s="28" t="s">
        <v>529</v>
      </c>
      <c r="O316" s="28" t="s">
        <v>279</v>
      </c>
      <c r="P316" s="28" t="str">
        <f t="shared" si="13"/>
        <v/>
      </c>
      <c r="Q316" s="28"/>
      <c r="R316" s="29">
        <v>40</v>
      </c>
      <c r="S316" s="28" t="s">
        <v>284</v>
      </c>
      <c r="T316" s="30" t="str">
        <f>_xlfn.CONCAT(Table5[[#This Row],[OrderID]]," | ",Table5[[#This Row],[City]]," | ",Table5[[#This Row],[ItemName]])</f>
        <v xml:space="preserve">ORD-1312 | Lalitpur | Veg Fried Rice  </v>
      </c>
      <c r="U316" s="30" t="str">
        <f>UPPER(Table5[[#This Row],[City]])</f>
        <v>LALITPUR</v>
      </c>
      <c r="V316" s="30" t="str">
        <f>LOWER(Table5[[#This Row],[PaymentMethod]])</f>
        <v>cash on delivery</v>
      </c>
      <c r="W316" s="30" cm="1">
        <f t="array" ref="W316">_xlfn.XLOOKUP(TRIM(Table5[[#This Row],[ItemName]]), TRIM(Menu_Price_List_tbl[ItemName]),Menu_Price_List_tbl[UnitPrice_NPR])</f>
        <v>220</v>
      </c>
      <c r="X316" s="31">
        <f t="shared" si="14"/>
        <v>220</v>
      </c>
      <c r="Y316" s="30">
        <f>_xlfn.XLOOKUP(Table5[[#This Row],[City]],City_Delivery_Fee_tbl[City],City_Delivery_Fee_tbl[BaseDeliveryFee_NPR])</f>
        <v>50</v>
      </c>
      <c r="Z31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30</v>
      </c>
      <c r="AA316" s="31">
        <f>Table5[[#This Row],[Order Amount]]+Table5[[#This Row],[Delivery Fee]]-Table5[[#This Row],[Discount Amount]]</f>
        <v>240</v>
      </c>
      <c r="AB316" s="30" t="str">
        <f>_xlfn.XLOOKUP(Table5[[#This Row],[RiderID]], Rider_Directory!$F$2:$F$26, Rider_Directory!$B$2:$B$26)</f>
        <v>Lalitpur</v>
      </c>
      <c r="AC316" s="30" t="str" cm="1">
        <f t="array" ref="AC316">_xlfn.IFS(Table5[[#This Row],[Final Amount]]&lt;500, "Small", Table5[[#This Row],[Final Amount]]&lt;=1000, "Medium", Table5[[#This Row],[Final Amount]]&gt;1000, "Large")</f>
        <v>Small</v>
      </c>
      <c r="AD316" s="30" t="str">
        <f>_xlfn.LET(_xlpm.expiry,_xlfn.XLOOKUP(Table5[[#This Row],[PromoCode]],Promo_Codes!$A$2:$A$9,Promo_Codes!$F$2:$F$9,DATE(2099,1,1)),IF(Table5[[#This Row],[OrderDate]]&gt;_xlpm.expiry,"Expired Code Used","Valid"))</f>
        <v>Expired Code Used</v>
      </c>
    </row>
    <row r="317" spans="1:30" x14ac:dyDescent="0.3">
      <c r="A317" s="28" t="s">
        <v>1051</v>
      </c>
      <c r="B317" s="27">
        <v>46049</v>
      </c>
      <c r="C317" s="28" t="s">
        <v>416</v>
      </c>
      <c r="D317" s="28" t="s">
        <v>1205</v>
      </c>
      <c r="E317" s="27">
        <v>45871</v>
      </c>
      <c r="F317" s="27" t="str">
        <f t="shared" si="12"/>
        <v>Returning</v>
      </c>
      <c r="G317" s="28" t="s">
        <v>145</v>
      </c>
      <c r="H317" s="28" t="s">
        <v>216</v>
      </c>
      <c r="I317" s="28" t="s">
        <v>125</v>
      </c>
      <c r="J317" s="28" t="s">
        <v>571</v>
      </c>
      <c r="K317" s="29">
        <v>1</v>
      </c>
      <c r="L317" s="28" t="s">
        <v>307</v>
      </c>
      <c r="M317" s="28" t="s">
        <v>140</v>
      </c>
      <c r="N317" s="28" t="s">
        <v>336</v>
      </c>
      <c r="O317" s="28" t="s">
        <v>130</v>
      </c>
      <c r="P317" s="28" t="str">
        <f t="shared" si="13"/>
        <v/>
      </c>
      <c r="Q317" s="29">
        <v>3</v>
      </c>
      <c r="R317" s="29">
        <v>56</v>
      </c>
      <c r="S317" s="28"/>
      <c r="T317" s="30" t="str">
        <f>_xlfn.CONCAT(Table5[[#This Row],[OrderID]]," | ",Table5[[#This Row],[City]]," | ",Table5[[#This Row],[ItemName]])</f>
        <v>ORD-1313 | Chitwan | Choila (Buff)</v>
      </c>
      <c r="U317" s="30" t="str">
        <f>UPPER(Table5[[#This Row],[City]])</f>
        <v>CHITWAN</v>
      </c>
      <c r="V317" s="30" t="str">
        <f>LOWER(Table5[[#This Row],[PaymentMethod]])</f>
        <v>cash on delivery</v>
      </c>
      <c r="W317" s="30" cm="1">
        <f t="array" ref="W317">_xlfn.XLOOKUP(TRIM(Table5[[#This Row],[ItemName]]), TRIM(Menu_Price_List_tbl[ItemName]),Menu_Price_List_tbl[UnitPrice_NPR])</f>
        <v>320</v>
      </c>
      <c r="X317" s="31">
        <f t="shared" si="14"/>
        <v>320</v>
      </c>
      <c r="Y317" s="30">
        <f>_xlfn.XLOOKUP(Table5[[#This Row],[City]],City_Delivery_Fee_tbl[City],City_Delivery_Fee_tbl[BaseDeliveryFee_NPR])</f>
        <v>80</v>
      </c>
      <c r="Z31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317" s="31">
        <f>Table5[[#This Row],[Order Amount]]+Table5[[#This Row],[Delivery Fee]]-Table5[[#This Row],[Discount Amount]]</f>
        <v>350</v>
      </c>
      <c r="AB317" s="30" t="str">
        <f>_xlfn.XLOOKUP(Table5[[#This Row],[RiderID]], Rider_Directory!$F$2:$F$26, Rider_Directory!$B$2:$B$26)</f>
        <v>Chitwan</v>
      </c>
      <c r="AC317" s="30" t="str" cm="1">
        <f t="array" ref="AC317">_xlfn.IFS(Table5[[#This Row],[Final Amount]]&lt;500, "Small", Table5[[#This Row],[Final Amount]]&lt;=1000, "Medium", Table5[[#This Row],[Final Amount]]&gt;1000, "Large")</f>
        <v>Small</v>
      </c>
      <c r="AD317" s="30" t="str">
        <f>_xlfn.LET(_xlpm.expiry,_xlfn.XLOOKUP(Table5[[#This Row],[PromoCode]],Promo_Codes!$A$2:$A$9,Promo_Codes!$F$2:$F$9,DATE(2099,1,1)),IF(Table5[[#This Row],[OrderDate]]&gt;_xlpm.expiry,"Expired Code Used","Valid"))</f>
        <v>Valid</v>
      </c>
    </row>
    <row r="318" spans="1:30" x14ac:dyDescent="0.3">
      <c r="A318" s="28" t="s">
        <v>151</v>
      </c>
      <c r="B318" s="27">
        <v>46049</v>
      </c>
      <c r="C318" s="28" t="s">
        <v>322</v>
      </c>
      <c r="D318" s="28" t="s">
        <v>1162</v>
      </c>
      <c r="E318" s="27">
        <v>45916</v>
      </c>
      <c r="F318" s="27" t="str">
        <f t="shared" si="12"/>
        <v>Returning</v>
      </c>
      <c r="G318" s="28" t="s">
        <v>170</v>
      </c>
      <c r="H318" s="28" t="s">
        <v>155</v>
      </c>
      <c r="I318" s="28" t="s">
        <v>156</v>
      </c>
      <c r="J318" s="28" t="s">
        <v>157</v>
      </c>
      <c r="K318" s="29">
        <v>1</v>
      </c>
      <c r="L318" s="28" t="s">
        <v>158</v>
      </c>
      <c r="M318" s="28" t="s">
        <v>159</v>
      </c>
      <c r="N318" s="28"/>
      <c r="O318" s="28"/>
      <c r="P318" s="28" t="str">
        <f t="shared" si="13"/>
        <v xml:space="preserve"> NEED REVIEW</v>
      </c>
      <c r="Q318" s="28"/>
      <c r="R318" s="29">
        <v>40</v>
      </c>
      <c r="S318" s="28"/>
      <c r="T318" s="30" t="str">
        <f>_xlfn.CONCAT(Table5[[#This Row],[OrderID]]," | ",Table5[[#This Row],[City]]," | ",Table5[[#This Row],[ItemName]])</f>
        <v>ORD-1314 | Butwal | Chicken Manchurian</v>
      </c>
      <c r="U318" s="30" t="str">
        <f>UPPER(Table5[[#This Row],[City]])</f>
        <v>BUTWAL</v>
      </c>
      <c r="V318" s="30" t="str">
        <f>LOWER(Table5[[#This Row],[PaymentMethod]])</f>
        <v>khalti</v>
      </c>
      <c r="W318" s="30" cm="1">
        <f t="array" ref="W318">_xlfn.XLOOKUP(TRIM(Table5[[#This Row],[ItemName]]), TRIM(Menu_Price_List_tbl[ItemName]),Menu_Price_List_tbl[UnitPrice_NPR])</f>
        <v>320</v>
      </c>
      <c r="X318" s="31">
        <f t="shared" si="14"/>
        <v>320</v>
      </c>
      <c r="Y318" s="30">
        <f>_xlfn.XLOOKUP(Table5[[#This Row],[City]],City_Delivery_Fee_tbl[City],City_Delivery_Fee_tbl[BaseDeliveryFee_NPR])</f>
        <v>85</v>
      </c>
      <c r="Z318"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18" s="31">
        <f>Table5[[#This Row],[Order Amount]]+Table5[[#This Row],[Delivery Fee]]-Table5[[#This Row],[Discount Amount]]</f>
        <v>405</v>
      </c>
      <c r="AB318" s="30" t="str">
        <f>_xlfn.XLOOKUP(Table5[[#This Row],[RiderID]], Rider_Directory!$F$2:$F$26, Rider_Directory!$B$2:$B$26)</f>
        <v>Butwal</v>
      </c>
      <c r="AC318" s="30" t="str" cm="1">
        <f t="array" ref="AC318">_xlfn.IFS(Table5[[#This Row],[Final Amount]]&lt;500, "Small", Table5[[#This Row],[Final Amount]]&lt;=1000, "Medium", Table5[[#This Row],[Final Amount]]&gt;1000, "Large")</f>
        <v>Small</v>
      </c>
      <c r="AD318" s="30" t="str">
        <f>_xlfn.LET(_xlpm.expiry,_xlfn.XLOOKUP(Table5[[#This Row],[PromoCode]],Promo_Codes!$A$2:$A$9,Promo_Codes!$F$2:$F$9,DATE(2099,1,1)),IF(Table5[[#This Row],[OrderDate]]&gt;_xlpm.expiry,"Expired Code Used","Valid"))</f>
        <v>Valid</v>
      </c>
    </row>
    <row r="319" spans="1:30" x14ac:dyDescent="0.3">
      <c r="A319" s="28" t="s">
        <v>864</v>
      </c>
      <c r="B319" s="27">
        <v>46050</v>
      </c>
      <c r="C319" s="28" t="s">
        <v>531</v>
      </c>
      <c r="D319" s="28" t="s">
        <v>1226</v>
      </c>
      <c r="E319" s="27">
        <v>45909</v>
      </c>
      <c r="F319" s="27" t="str">
        <f t="shared" si="12"/>
        <v>Returning</v>
      </c>
      <c r="G319" s="28" t="s">
        <v>206</v>
      </c>
      <c r="H319" s="28" t="s">
        <v>178</v>
      </c>
      <c r="I319" s="28" t="s">
        <v>179</v>
      </c>
      <c r="J319" s="28" t="s">
        <v>421</v>
      </c>
      <c r="K319" s="29">
        <v>1</v>
      </c>
      <c r="L319" s="28" t="s">
        <v>353</v>
      </c>
      <c r="M319" s="28" t="s">
        <v>159</v>
      </c>
      <c r="N319" s="28"/>
      <c r="O319" s="28" t="s">
        <v>279</v>
      </c>
      <c r="P319" s="28" t="str">
        <f t="shared" si="13"/>
        <v/>
      </c>
      <c r="Q319" s="28"/>
      <c r="R319" s="29">
        <v>26</v>
      </c>
      <c r="S319" s="28" t="s">
        <v>280</v>
      </c>
      <c r="T319" s="30" t="str">
        <f>_xlfn.CONCAT(Table5[[#This Row],[OrderID]]," | ",Table5[[#This Row],[City]]," | ",Table5[[#This Row],[ItemName]])</f>
        <v>ORD-1315 | Pokhara | Chicken Burger</v>
      </c>
      <c r="U319" s="30" t="str">
        <f>UPPER(Table5[[#This Row],[City]])</f>
        <v>POKHARA</v>
      </c>
      <c r="V319" s="30" t="str">
        <f>LOWER(Table5[[#This Row],[PaymentMethod]])</f>
        <v>khalti</v>
      </c>
      <c r="W319" s="30" cm="1">
        <f t="array" ref="W319">_xlfn.XLOOKUP(TRIM(Table5[[#This Row],[ItemName]]), TRIM(Menu_Price_List_tbl[ItemName]),Menu_Price_List_tbl[UnitPrice_NPR])</f>
        <v>280</v>
      </c>
      <c r="X319" s="31">
        <f t="shared" si="14"/>
        <v>280</v>
      </c>
      <c r="Y319" s="30">
        <f>_xlfn.XLOOKUP(Table5[[#This Row],[City]],City_Delivery_Fee_tbl[City],City_Delivery_Fee_tbl[BaseDeliveryFee_NPR])</f>
        <v>70</v>
      </c>
      <c r="Z319"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19" s="31">
        <f>Table5[[#This Row],[Order Amount]]+Table5[[#This Row],[Delivery Fee]]-Table5[[#This Row],[Discount Amount]]</f>
        <v>350</v>
      </c>
      <c r="AB319" s="30" t="str">
        <f>_xlfn.XLOOKUP(Table5[[#This Row],[RiderID]], Rider_Directory!$F$2:$F$26, Rider_Directory!$B$2:$B$26)</f>
        <v>Pokhara</v>
      </c>
      <c r="AC319" s="30" t="str" cm="1">
        <f t="array" ref="AC319">_xlfn.IFS(Table5[[#This Row],[Final Amount]]&lt;500, "Small", Table5[[#This Row],[Final Amount]]&lt;=1000, "Medium", Table5[[#This Row],[Final Amount]]&gt;1000, "Large")</f>
        <v>Small</v>
      </c>
      <c r="AD319" s="30" t="str">
        <f>_xlfn.LET(_xlpm.expiry,_xlfn.XLOOKUP(Table5[[#This Row],[PromoCode]],Promo_Codes!$A$2:$A$9,Promo_Codes!$F$2:$F$9,DATE(2099,1,1)),IF(Table5[[#This Row],[OrderDate]]&gt;_xlpm.expiry,"Expired Code Used","Valid"))</f>
        <v>Valid</v>
      </c>
    </row>
    <row r="320" spans="1:30" x14ac:dyDescent="0.3">
      <c r="A320" s="28" t="s">
        <v>1030</v>
      </c>
      <c r="B320" s="27">
        <v>46050</v>
      </c>
      <c r="C320" s="28" t="s">
        <v>600</v>
      </c>
      <c r="D320" s="28" t="s">
        <v>1232</v>
      </c>
      <c r="E320" s="27">
        <v>45963</v>
      </c>
      <c r="F320" s="27" t="str">
        <f t="shared" si="12"/>
        <v>Returning</v>
      </c>
      <c r="G320" s="28" t="s">
        <v>206</v>
      </c>
      <c r="H320" s="28" t="s">
        <v>538</v>
      </c>
      <c r="I320" s="28" t="s">
        <v>351</v>
      </c>
      <c r="J320" s="28" t="s">
        <v>539</v>
      </c>
      <c r="K320" s="29">
        <v>2</v>
      </c>
      <c r="L320" s="28" t="s">
        <v>353</v>
      </c>
      <c r="M320" s="28" t="s">
        <v>140</v>
      </c>
      <c r="N320" s="28" t="s">
        <v>529</v>
      </c>
      <c r="O320" s="28" t="s">
        <v>130</v>
      </c>
      <c r="P320" s="28" t="str">
        <f t="shared" si="13"/>
        <v/>
      </c>
      <c r="Q320" s="29">
        <v>5</v>
      </c>
      <c r="R320" s="29">
        <v>33</v>
      </c>
      <c r="S320" s="28"/>
      <c r="T320" s="30" t="str">
        <f>_xlfn.CONCAT(Table5[[#This Row],[OrderID]]," | ",Table5[[#This Row],[City]]," | ",Table5[[#This Row],[ItemName]])</f>
        <v>ORD-1316 | Pokhara | Mutton Sekuwa</v>
      </c>
      <c r="U320" s="30" t="str">
        <f>UPPER(Table5[[#This Row],[City]])</f>
        <v>POKHARA</v>
      </c>
      <c r="V320" s="30" t="str">
        <f>LOWER(Table5[[#This Row],[PaymentMethod]])</f>
        <v>cash on delivery</v>
      </c>
      <c r="W320" s="30" cm="1">
        <f t="array" ref="W320">_xlfn.XLOOKUP(TRIM(Table5[[#This Row],[ItemName]]), TRIM(Menu_Price_List_tbl[ItemName]),Menu_Price_List_tbl[UnitPrice_NPR])</f>
        <v>600</v>
      </c>
      <c r="X320" s="31">
        <f t="shared" si="14"/>
        <v>1200</v>
      </c>
      <c r="Y320" s="30">
        <f>_xlfn.XLOOKUP(Table5[[#This Row],[City]],City_Delivery_Fee_tbl[City],City_Delivery_Fee_tbl[BaseDeliveryFee_NPR])</f>
        <v>70</v>
      </c>
      <c r="Z320"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30</v>
      </c>
      <c r="AA320" s="31">
        <f>Table5[[#This Row],[Order Amount]]+Table5[[#This Row],[Delivery Fee]]-Table5[[#This Row],[Discount Amount]]</f>
        <v>1240</v>
      </c>
      <c r="AB320" s="30" t="str">
        <f>_xlfn.XLOOKUP(Table5[[#This Row],[RiderID]], Rider_Directory!$F$2:$F$26, Rider_Directory!$B$2:$B$26)</f>
        <v>Pokhara</v>
      </c>
      <c r="AC320" s="30" t="str" cm="1">
        <f t="array" ref="AC320">_xlfn.IFS(Table5[[#This Row],[Final Amount]]&lt;500, "Small", Table5[[#This Row],[Final Amount]]&lt;=1000, "Medium", Table5[[#This Row],[Final Amount]]&gt;1000, "Large")</f>
        <v>Large</v>
      </c>
      <c r="AD320" s="30" t="str">
        <f>_xlfn.LET(_xlpm.expiry,_xlfn.XLOOKUP(Table5[[#This Row],[PromoCode]],Promo_Codes!$A$2:$A$9,Promo_Codes!$F$2:$F$9,DATE(2099,1,1)),IF(Table5[[#This Row],[OrderDate]]&gt;_xlpm.expiry,"Expired Code Used","Valid"))</f>
        <v>Expired Code Used</v>
      </c>
    </row>
    <row r="321" spans="1:30" x14ac:dyDescent="0.3">
      <c r="A321" s="28" t="s">
        <v>328</v>
      </c>
      <c r="B321" s="27">
        <v>46051</v>
      </c>
      <c r="C321" s="28" t="s">
        <v>344</v>
      </c>
      <c r="D321" s="28" t="s">
        <v>1190</v>
      </c>
      <c r="E321" s="27">
        <v>46003</v>
      </c>
      <c r="F321" s="27" t="str">
        <f t="shared" si="12"/>
        <v>Returning</v>
      </c>
      <c r="G321" s="28" t="s">
        <v>198</v>
      </c>
      <c r="H321" s="28" t="s">
        <v>331</v>
      </c>
      <c r="I321" s="28" t="s">
        <v>164</v>
      </c>
      <c r="J321" s="28" t="s">
        <v>332</v>
      </c>
      <c r="K321" s="29">
        <v>2</v>
      </c>
      <c r="L321" s="28" t="s">
        <v>201</v>
      </c>
      <c r="M321" s="28" t="s">
        <v>128</v>
      </c>
      <c r="N321" s="28" t="s">
        <v>240</v>
      </c>
      <c r="O321" s="28" t="s">
        <v>130</v>
      </c>
      <c r="P321" s="28" t="str">
        <f t="shared" si="13"/>
        <v/>
      </c>
      <c r="Q321" s="29">
        <v>4</v>
      </c>
      <c r="R321" s="29">
        <v>32</v>
      </c>
      <c r="S321" s="28"/>
      <c r="T321" s="30" t="str">
        <f>_xlfn.CONCAT(Table5[[#This Row],[OrderID]]," | ",Table5[[#This Row],[City]]," | ",Table5[[#This Row],[ItemName]])</f>
        <v>ORD-1317 | Lalitpur |   Black Coffee</v>
      </c>
      <c r="U321" s="30" t="str">
        <f>UPPER(Table5[[#This Row],[City]])</f>
        <v>LALITPUR</v>
      </c>
      <c r="V321" s="30" t="str">
        <f>LOWER(Table5[[#This Row],[PaymentMethod]])</f>
        <v>esewa</v>
      </c>
      <c r="W321" s="30" cm="1">
        <f t="array" ref="W321">_xlfn.XLOOKUP(TRIM(Table5[[#This Row],[ItemName]]), TRIM(Menu_Price_List_tbl[ItemName]),Menu_Price_List_tbl[UnitPrice_NPR])</f>
        <v>90</v>
      </c>
      <c r="X321" s="31">
        <f t="shared" si="14"/>
        <v>180</v>
      </c>
      <c r="Y321" s="30">
        <f>_xlfn.XLOOKUP(Table5[[#This Row],[City]],City_Delivery_Fee_tbl[City],City_Delivery_Fee_tbl[BaseDeliveryFee_NPR])</f>
        <v>50</v>
      </c>
      <c r="Z321"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36</v>
      </c>
      <c r="AA321" s="31">
        <f>Table5[[#This Row],[Order Amount]]+Table5[[#This Row],[Delivery Fee]]-Table5[[#This Row],[Discount Amount]]</f>
        <v>194</v>
      </c>
      <c r="AB321" s="30" t="str">
        <f>_xlfn.XLOOKUP(Table5[[#This Row],[RiderID]], Rider_Directory!$F$2:$F$26, Rider_Directory!$B$2:$B$26)</f>
        <v>Lalitpur</v>
      </c>
      <c r="AC321" s="30" t="str" cm="1">
        <f t="array" ref="AC321">_xlfn.IFS(Table5[[#This Row],[Final Amount]]&lt;500, "Small", Table5[[#This Row],[Final Amount]]&lt;=1000, "Medium", Table5[[#This Row],[Final Amount]]&gt;1000, "Large")</f>
        <v>Small</v>
      </c>
      <c r="AD321" s="30" t="str">
        <f>_xlfn.LET(_xlpm.expiry,_xlfn.XLOOKUP(Table5[[#This Row],[PromoCode]],Promo_Codes!$A$2:$A$9,Promo_Codes!$F$2:$F$9,DATE(2099,1,1)),IF(Table5[[#This Row],[OrderDate]]&gt;_xlpm.expiry,"Expired Code Used","Valid"))</f>
        <v>Valid</v>
      </c>
    </row>
    <row r="322" spans="1:30" x14ac:dyDescent="0.3">
      <c r="A322" s="28" t="s">
        <v>256</v>
      </c>
      <c r="B322" s="27">
        <v>46051</v>
      </c>
      <c r="C322" s="28" t="s">
        <v>257</v>
      </c>
      <c r="D322" s="28" t="s">
        <v>1178</v>
      </c>
      <c r="E322" s="27">
        <v>45947</v>
      </c>
      <c r="F322" s="27" t="str">
        <f t="shared" ref="F322:F327" si="15">IF(B322-E322&lt;=2,"New","Returning")</f>
        <v>Returning</v>
      </c>
      <c r="G322" s="28" t="s">
        <v>259</v>
      </c>
      <c r="H322" s="28" t="s">
        <v>192</v>
      </c>
      <c r="I322" s="28" t="s">
        <v>137</v>
      </c>
      <c r="J322" s="28" t="s">
        <v>138</v>
      </c>
      <c r="K322" s="29">
        <v>2</v>
      </c>
      <c r="L322" s="28" t="s">
        <v>260</v>
      </c>
      <c r="M322" s="28" t="s">
        <v>159</v>
      </c>
      <c r="N322" s="28"/>
      <c r="O322" s="28"/>
      <c r="P322" s="28" t="str">
        <f t="shared" ref="P322:P327" si="16">IF(O322=""," NEED REVIEW","")</f>
        <v xml:space="preserve"> NEED REVIEW</v>
      </c>
      <c r="Q322" s="29">
        <v>5</v>
      </c>
      <c r="R322" s="29">
        <v>39</v>
      </c>
      <c r="S322" s="28"/>
      <c r="T322" s="30" t="str">
        <f>_xlfn.CONCAT(Table5[[#This Row],[OrderID]]," | ",Table5[[#This Row],[City]]," | ",Table5[[#This Row],[ItemName]])</f>
        <v>ORD-1318 | Dharan | Chicken Thakali Set</v>
      </c>
      <c r="U322" s="30" t="str">
        <f>UPPER(Table5[[#This Row],[City]])</f>
        <v>DHARAN</v>
      </c>
      <c r="V322" s="30" t="str">
        <f>LOWER(Table5[[#This Row],[PaymentMethod]])</f>
        <v>khalti</v>
      </c>
      <c r="W322" s="30" cm="1">
        <f t="array" ref="W322">_xlfn.XLOOKUP(TRIM(Table5[[#This Row],[ItemName]]), TRIM(Menu_Price_List_tbl[ItemName]),Menu_Price_List_tbl[UnitPrice_NPR])</f>
        <v>480</v>
      </c>
      <c r="X322" s="31">
        <f t="shared" ref="X322:X327" si="17">W322*K322</f>
        <v>960</v>
      </c>
      <c r="Y322" s="30">
        <f>_xlfn.XLOOKUP(Table5[[#This Row],[City]],City_Delivery_Fee_tbl[City],City_Delivery_Fee_tbl[BaseDeliveryFee_NPR])</f>
        <v>95</v>
      </c>
      <c r="Z322"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22" s="31">
        <f>Table5[[#This Row],[Order Amount]]+Table5[[#This Row],[Delivery Fee]]-Table5[[#This Row],[Discount Amount]]</f>
        <v>1055</v>
      </c>
      <c r="AB322" s="30" t="str">
        <f>_xlfn.XLOOKUP(Table5[[#This Row],[RiderID]], Rider_Directory!$F$2:$F$26, Rider_Directory!$B$2:$B$26)</f>
        <v>Dharan</v>
      </c>
      <c r="AC322" s="30" t="str" cm="1">
        <f t="array" ref="AC322">_xlfn.IFS(Table5[[#This Row],[Final Amount]]&lt;500, "Small", Table5[[#This Row],[Final Amount]]&lt;=1000, "Medium", Table5[[#This Row],[Final Amount]]&gt;1000, "Large")</f>
        <v>Large</v>
      </c>
      <c r="AD322" s="30" t="str">
        <f>_xlfn.LET(_xlpm.expiry,_xlfn.XLOOKUP(Table5[[#This Row],[PromoCode]],Promo_Codes!$A$2:$A$9,Promo_Codes!$F$2:$F$9,DATE(2099,1,1)),IF(Table5[[#This Row],[OrderDate]]&gt;_xlpm.expiry,"Expired Code Used","Valid"))</f>
        <v>Valid</v>
      </c>
    </row>
    <row r="323" spans="1:30" x14ac:dyDescent="0.3">
      <c r="A323" s="28" t="s">
        <v>852</v>
      </c>
      <c r="B323" s="27">
        <v>46052</v>
      </c>
      <c r="C323" s="28" t="s">
        <v>1146</v>
      </c>
      <c r="D323" s="28" t="s">
        <v>1264</v>
      </c>
      <c r="E323" s="27">
        <v>45722</v>
      </c>
      <c r="F323" s="27" t="str">
        <f t="shared" si="15"/>
        <v>Returning</v>
      </c>
      <c r="G323" s="28" t="s">
        <v>177</v>
      </c>
      <c r="H323" s="28" t="s">
        <v>232</v>
      </c>
      <c r="I323" s="28" t="s">
        <v>233</v>
      </c>
      <c r="J323" s="28" t="s">
        <v>499</v>
      </c>
      <c r="K323" s="29">
        <v>2</v>
      </c>
      <c r="L323" s="28" t="s">
        <v>713</v>
      </c>
      <c r="M323" s="28" t="s">
        <v>159</v>
      </c>
      <c r="N323" s="28"/>
      <c r="O323" s="28" t="s">
        <v>130</v>
      </c>
      <c r="P323" s="28" t="str">
        <f t="shared" si="16"/>
        <v/>
      </c>
      <c r="Q323" s="29">
        <v>4</v>
      </c>
      <c r="R323" s="29">
        <v>33</v>
      </c>
      <c r="S323" s="28" t="s">
        <v>141</v>
      </c>
      <c r="T323" s="30" t="str">
        <f>_xlfn.CONCAT(Table5[[#This Row],[OrderID]]," | ",Table5[[#This Row],[City]]," | ",Table5[[#This Row],[ItemName]])</f>
        <v>ORD-1319 | Bhaktapur | Chilli Momo</v>
      </c>
      <c r="U323" s="30" t="str">
        <f>UPPER(Table5[[#This Row],[City]])</f>
        <v>BHAKTAPUR</v>
      </c>
      <c r="V323" s="30" t="str">
        <f>LOWER(Table5[[#This Row],[PaymentMethod]])</f>
        <v>khalti</v>
      </c>
      <c r="W323" s="30" cm="1">
        <f t="array" ref="W323">_xlfn.XLOOKUP(TRIM(Table5[[#This Row],[ItemName]]), TRIM(Menu_Price_List_tbl[ItemName]),Menu_Price_List_tbl[UnitPrice_NPR])</f>
        <v>220</v>
      </c>
      <c r="X323" s="31">
        <f t="shared" si="17"/>
        <v>440</v>
      </c>
      <c r="Y323" s="30">
        <f>_xlfn.XLOOKUP(Table5[[#This Row],[City]],City_Delivery_Fee_tbl[City],City_Delivery_Fee_tbl[BaseDeliveryFee_NPR])</f>
        <v>55</v>
      </c>
      <c r="Z323"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23" s="31">
        <f>Table5[[#This Row],[Order Amount]]+Table5[[#This Row],[Delivery Fee]]-Table5[[#This Row],[Discount Amount]]</f>
        <v>495</v>
      </c>
      <c r="AB323" s="30" t="str">
        <f>_xlfn.XLOOKUP(Table5[[#This Row],[RiderID]], Rider_Directory!$F$2:$F$26, Rider_Directory!$B$2:$B$26)</f>
        <v>Bhaktapur</v>
      </c>
      <c r="AC323" s="30" t="str" cm="1">
        <f t="array" ref="AC323">_xlfn.IFS(Table5[[#This Row],[Final Amount]]&lt;500, "Small", Table5[[#This Row],[Final Amount]]&lt;=1000, "Medium", Table5[[#This Row],[Final Amount]]&gt;1000, "Large")</f>
        <v>Small</v>
      </c>
      <c r="AD323" s="30" t="str">
        <f>_xlfn.LET(_xlpm.expiry,_xlfn.XLOOKUP(Table5[[#This Row],[PromoCode]],Promo_Codes!$A$2:$A$9,Promo_Codes!$F$2:$F$9,DATE(2099,1,1)),IF(Table5[[#This Row],[OrderDate]]&gt;_xlpm.expiry,"Expired Code Used","Valid"))</f>
        <v>Valid</v>
      </c>
    </row>
    <row r="324" spans="1:30" x14ac:dyDescent="0.3">
      <c r="A324" s="28" t="s">
        <v>668</v>
      </c>
      <c r="B324" s="27">
        <v>46052</v>
      </c>
      <c r="C324" s="28" t="s">
        <v>597</v>
      </c>
      <c r="D324" s="28" t="s">
        <v>1236</v>
      </c>
      <c r="E324" s="27">
        <v>45904</v>
      </c>
      <c r="F324" s="27" t="str">
        <f t="shared" si="15"/>
        <v>Returning</v>
      </c>
      <c r="G324" s="28" t="s">
        <v>170</v>
      </c>
      <c r="H324" s="28" t="s">
        <v>136</v>
      </c>
      <c r="I324" s="28" t="s">
        <v>137</v>
      </c>
      <c r="J324" s="28" t="s">
        <v>323</v>
      </c>
      <c r="K324" s="29">
        <v>3</v>
      </c>
      <c r="L324" s="28" t="s">
        <v>158</v>
      </c>
      <c r="M324" s="28" t="s">
        <v>247</v>
      </c>
      <c r="N324" s="28" t="s">
        <v>336</v>
      </c>
      <c r="O324" s="28" t="s">
        <v>130</v>
      </c>
      <c r="P324" s="28" t="str">
        <f t="shared" si="16"/>
        <v/>
      </c>
      <c r="Q324" s="28"/>
      <c r="R324" s="29">
        <v>46</v>
      </c>
      <c r="S324" s="28"/>
      <c r="T324" s="30" t="str">
        <f>_xlfn.CONCAT(Table5[[#This Row],[OrderID]]," | ",Table5[[#This Row],[City]]," | ",Table5[[#This Row],[ItemName]])</f>
        <v>ORD-1320 | Butwal |   Chicken Thakali Set</v>
      </c>
      <c r="U324" s="30" t="str">
        <f>UPPER(Table5[[#This Row],[City]])</f>
        <v>BUTWAL</v>
      </c>
      <c r="V324" s="30" t="str">
        <f>LOWER(Table5[[#This Row],[PaymentMethod]])</f>
        <v>ime pay</v>
      </c>
      <c r="W324" s="30" cm="1">
        <f t="array" ref="W324">_xlfn.XLOOKUP(TRIM(Table5[[#This Row],[ItemName]]), TRIM(Menu_Price_List_tbl[ItemName]),Menu_Price_List_tbl[UnitPrice_NPR])</f>
        <v>480</v>
      </c>
      <c r="X324" s="31">
        <f t="shared" si="17"/>
        <v>1440</v>
      </c>
      <c r="Y324" s="30">
        <f>_xlfn.XLOOKUP(Table5[[#This Row],[City]],City_Delivery_Fee_tbl[City],City_Delivery_Fee_tbl[BaseDeliveryFee_NPR])</f>
        <v>85</v>
      </c>
      <c r="Z324"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50</v>
      </c>
      <c r="AA324" s="31">
        <f>Table5[[#This Row],[Order Amount]]+Table5[[#This Row],[Delivery Fee]]-Table5[[#This Row],[Discount Amount]]</f>
        <v>1475</v>
      </c>
      <c r="AB324" s="30" t="str">
        <f>_xlfn.XLOOKUP(Table5[[#This Row],[RiderID]], Rider_Directory!$F$2:$F$26, Rider_Directory!$B$2:$B$26)</f>
        <v>Butwal</v>
      </c>
      <c r="AC324" s="30" t="str" cm="1">
        <f t="array" ref="AC324">_xlfn.IFS(Table5[[#This Row],[Final Amount]]&lt;500, "Small", Table5[[#This Row],[Final Amount]]&lt;=1000, "Medium", Table5[[#This Row],[Final Amount]]&gt;1000, "Large")</f>
        <v>Large</v>
      </c>
      <c r="AD324" s="30" t="str">
        <f>_xlfn.LET(_xlpm.expiry,_xlfn.XLOOKUP(Table5[[#This Row],[PromoCode]],Promo_Codes!$A$2:$A$9,Promo_Codes!$F$2:$F$9,DATE(2099,1,1)),IF(Table5[[#This Row],[OrderDate]]&gt;_xlpm.expiry,"Expired Code Used","Valid"))</f>
        <v>Valid</v>
      </c>
    </row>
    <row r="325" spans="1:30" x14ac:dyDescent="0.3">
      <c r="A325" s="28" t="s">
        <v>308</v>
      </c>
      <c r="B325" s="27">
        <v>46052</v>
      </c>
      <c r="C325" s="28" t="s">
        <v>481</v>
      </c>
      <c r="D325" s="28" t="s">
        <v>1176</v>
      </c>
      <c r="E325" s="27">
        <v>45874</v>
      </c>
      <c r="F325" s="27" t="str">
        <f t="shared" si="15"/>
        <v>Returning</v>
      </c>
      <c r="G325" s="28" t="s">
        <v>123</v>
      </c>
      <c r="H325" s="28" t="s">
        <v>124</v>
      </c>
      <c r="I325" s="28" t="s">
        <v>125</v>
      </c>
      <c r="J325" s="28" t="s">
        <v>295</v>
      </c>
      <c r="K325" s="29">
        <v>1</v>
      </c>
      <c r="L325" s="28" t="s">
        <v>290</v>
      </c>
      <c r="M325" s="28" t="s">
        <v>140</v>
      </c>
      <c r="N325" s="28"/>
      <c r="O325" s="28" t="s">
        <v>130</v>
      </c>
      <c r="P325" s="28" t="str">
        <f t="shared" si="16"/>
        <v/>
      </c>
      <c r="Q325" s="28"/>
      <c r="R325" s="29">
        <v>26</v>
      </c>
      <c r="S325" s="28" t="s">
        <v>280</v>
      </c>
      <c r="T325" s="30" t="str">
        <f>_xlfn.CONCAT(Table5[[#This Row],[OrderID]]," | ",Table5[[#This Row],[City]]," | ",Table5[[#This Row],[ItemName]])</f>
        <v>ORD-1321 | Biratnagar | Sukuti Sandheko</v>
      </c>
      <c r="U325" s="30" t="str">
        <f>UPPER(Table5[[#This Row],[City]])</f>
        <v>BIRATNAGAR</v>
      </c>
      <c r="V325" s="30" t="str">
        <f>LOWER(Table5[[#This Row],[PaymentMethod]])</f>
        <v>cash on delivery</v>
      </c>
      <c r="W325" s="30" cm="1">
        <f t="array" ref="W325">_xlfn.XLOOKUP(TRIM(Table5[[#This Row],[ItemName]]), TRIM(Menu_Price_List_tbl[ItemName]),Menu_Price_List_tbl[UnitPrice_NPR])</f>
        <v>350</v>
      </c>
      <c r="X325" s="31">
        <f t="shared" si="17"/>
        <v>350</v>
      </c>
      <c r="Y325" s="30">
        <f>_xlfn.XLOOKUP(Table5[[#This Row],[City]],City_Delivery_Fee_tbl[City],City_Delivery_Fee_tbl[BaseDeliveryFee_NPR])</f>
        <v>90</v>
      </c>
      <c r="Z325"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25" s="31">
        <f>Table5[[#This Row],[Order Amount]]+Table5[[#This Row],[Delivery Fee]]-Table5[[#This Row],[Discount Amount]]</f>
        <v>440</v>
      </c>
      <c r="AB325" s="30" t="str">
        <f>_xlfn.XLOOKUP(Table5[[#This Row],[RiderID]], Rider_Directory!$F$2:$F$26, Rider_Directory!$B$2:$B$26)</f>
        <v>Biratnagar</v>
      </c>
      <c r="AC325" s="30" t="str" cm="1">
        <f t="array" ref="AC325">_xlfn.IFS(Table5[[#This Row],[Final Amount]]&lt;500, "Small", Table5[[#This Row],[Final Amount]]&lt;=1000, "Medium", Table5[[#This Row],[Final Amount]]&gt;1000, "Large")</f>
        <v>Small</v>
      </c>
      <c r="AD325" s="30" t="str">
        <f>_xlfn.LET(_xlpm.expiry,_xlfn.XLOOKUP(Table5[[#This Row],[PromoCode]],Promo_Codes!$A$2:$A$9,Promo_Codes!$F$2:$F$9,DATE(2099,1,1)),IF(Table5[[#This Row],[OrderDate]]&gt;_xlpm.expiry,"Expired Code Used","Valid"))</f>
        <v>Valid</v>
      </c>
    </row>
    <row r="326" spans="1:30" x14ac:dyDescent="0.3">
      <c r="A326" s="28" t="s">
        <v>816</v>
      </c>
      <c r="B326" s="27">
        <v>46052</v>
      </c>
      <c r="C326" s="28" t="s">
        <v>1149</v>
      </c>
      <c r="D326" s="28" t="s">
        <v>1269</v>
      </c>
      <c r="E326" s="27">
        <v>46051</v>
      </c>
      <c r="F326" s="27" t="str">
        <f t="shared" si="15"/>
        <v>New</v>
      </c>
      <c r="G326" s="28" t="s">
        <v>177</v>
      </c>
      <c r="H326" s="28" t="s">
        <v>339</v>
      </c>
      <c r="I326" s="28" t="s">
        <v>233</v>
      </c>
      <c r="J326" s="28" t="s">
        <v>468</v>
      </c>
      <c r="K326" s="29">
        <v>1</v>
      </c>
      <c r="L326" s="28" t="s">
        <v>181</v>
      </c>
      <c r="M326" s="28" t="s">
        <v>159</v>
      </c>
      <c r="N326" s="28"/>
      <c r="O326" s="28"/>
      <c r="P326" s="28" t="str">
        <f t="shared" si="16"/>
        <v xml:space="preserve"> NEED REVIEW</v>
      </c>
      <c r="Q326" s="29">
        <v>4</v>
      </c>
      <c r="R326" s="29">
        <v>22</v>
      </c>
      <c r="S326" s="28" t="s">
        <v>202</v>
      </c>
      <c r="T326" s="30" t="str">
        <f>_xlfn.CONCAT(Table5[[#This Row],[OrderID]]," | ",Table5[[#This Row],[City]]," | ",Table5[[#This Row],[ItemName]])</f>
        <v>ORD-1322 | Bhaktapur | veg momo (fried)</v>
      </c>
      <c r="U326" s="30" t="str">
        <f>UPPER(Table5[[#This Row],[City]])</f>
        <v>BHAKTAPUR</v>
      </c>
      <c r="V326" s="30" t="str">
        <f>LOWER(Table5[[#This Row],[PaymentMethod]])</f>
        <v>khalti</v>
      </c>
      <c r="W326" s="30" cm="1">
        <f t="array" ref="W326">_xlfn.XLOOKUP(TRIM(Table5[[#This Row],[ItemName]]), TRIM(Menu_Price_List_tbl[ItemName]),Menu_Price_List_tbl[UnitPrice_NPR])</f>
        <v>160</v>
      </c>
      <c r="X326" s="31">
        <f t="shared" si="17"/>
        <v>160</v>
      </c>
      <c r="Y326" s="30">
        <f>_xlfn.XLOOKUP(Table5[[#This Row],[City]],City_Delivery_Fee_tbl[City],City_Delivery_Fee_tbl[BaseDeliveryFee_NPR])</f>
        <v>55</v>
      </c>
      <c r="Z326"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26" s="31">
        <f>Table5[[#This Row],[Order Amount]]+Table5[[#This Row],[Delivery Fee]]-Table5[[#This Row],[Discount Amount]]</f>
        <v>215</v>
      </c>
      <c r="AB326" s="30" t="str">
        <f>_xlfn.XLOOKUP(Table5[[#This Row],[RiderID]], Rider_Directory!$F$2:$F$26, Rider_Directory!$B$2:$B$26)</f>
        <v>Bhaktapur</v>
      </c>
      <c r="AC326" s="30" t="str" cm="1">
        <f t="array" ref="AC326">_xlfn.IFS(Table5[[#This Row],[Final Amount]]&lt;500, "Small", Table5[[#This Row],[Final Amount]]&lt;=1000, "Medium", Table5[[#This Row],[Final Amount]]&gt;1000, "Large")</f>
        <v>Small</v>
      </c>
      <c r="AD326" s="30" t="str">
        <f>_xlfn.LET(_xlpm.expiry,_xlfn.XLOOKUP(Table5[[#This Row],[PromoCode]],Promo_Codes!$A$2:$A$9,Promo_Codes!$F$2:$F$9,DATE(2099,1,1)),IF(Table5[[#This Row],[OrderDate]]&gt;_xlpm.expiry,"Expired Code Used","Valid"))</f>
        <v>Valid</v>
      </c>
    </row>
    <row r="327" spans="1:30" x14ac:dyDescent="0.3">
      <c r="A327" s="28" t="s">
        <v>1007</v>
      </c>
      <c r="B327" s="27">
        <v>46053</v>
      </c>
      <c r="C327" s="28" t="s">
        <v>626</v>
      </c>
      <c r="D327" s="28" t="s">
        <v>1181</v>
      </c>
      <c r="E327" s="27">
        <v>45873</v>
      </c>
      <c r="F327" s="27" t="str">
        <f t="shared" si="15"/>
        <v>Returning</v>
      </c>
      <c r="G327" s="28" t="s">
        <v>123</v>
      </c>
      <c r="H327" s="28" t="s">
        <v>124</v>
      </c>
      <c r="I327" s="28" t="s">
        <v>125</v>
      </c>
      <c r="J327" s="28" t="s">
        <v>1009</v>
      </c>
      <c r="K327" s="29">
        <v>1</v>
      </c>
      <c r="L327" s="28" t="s">
        <v>127</v>
      </c>
      <c r="M327" s="28" t="s">
        <v>159</v>
      </c>
      <c r="N327" s="28"/>
      <c r="O327" s="28" t="s">
        <v>130</v>
      </c>
      <c r="P327" s="28" t="str">
        <f t="shared" si="16"/>
        <v/>
      </c>
      <c r="Q327" s="29">
        <v>4</v>
      </c>
      <c r="R327" s="29">
        <v>9</v>
      </c>
      <c r="S327" s="28"/>
      <c r="T327" s="30" t="str">
        <f>_xlfn.CONCAT(Table5[[#This Row],[OrderID]]," | ",Table5[[#This Row],[City]]," | ",Table5[[#This Row],[ItemName]])</f>
        <v>ORD-1323 | Biratnagar | YOMARI</v>
      </c>
      <c r="U327" s="30" t="str">
        <f>UPPER(Table5[[#This Row],[City]])</f>
        <v>BIRATNAGAR</v>
      </c>
      <c r="V327" s="30" t="str">
        <f>LOWER(Table5[[#This Row],[PaymentMethod]])</f>
        <v>khalti</v>
      </c>
      <c r="W327" s="30" cm="1">
        <f t="array" ref="W327">_xlfn.XLOOKUP(TRIM(Table5[[#This Row],[ItemName]]), TRIM(Menu_Price_List_tbl[ItemName]),Menu_Price_List_tbl[UnitPrice_NPR])</f>
        <v>180</v>
      </c>
      <c r="X327" s="31">
        <f t="shared" si="17"/>
        <v>180</v>
      </c>
      <c r="Y327" s="30">
        <f>_xlfn.XLOOKUP(Table5[[#This Row],[City]],City_Delivery_Fee_tbl[City],City_Delivery_Fee_tbl[BaseDeliveryFee_NPR])</f>
        <v>90</v>
      </c>
      <c r="Z327" s="30">
        <f>IF(ISBLANK(Table5[[#This Row],[PromoCode]]), 0,
  _xlfn.LET(
    _xlpm.type, _xlfn.XLOOKUP(Table5[[#This Row],[PromoCode]], Promo_Codes!$A$2:$A$9, Promo_Codes!$C$2:$C$9, "Flat"),
    _xlpm.val, _xlfn.XLOOKUP(Table5[[#This Row],[PromoCode]], Promo_Codes!$A$2:$A$9, Promo_Codes!$D$2:$D$9, 0),
    IF(_xlpm.type="Percentage", Table5[[#This Row],[Order Amount]]*(_xlpm.val/100), _xlpm.val)
  )
)</f>
        <v>0</v>
      </c>
      <c r="AA327" s="31">
        <f>Table5[[#This Row],[Order Amount]]+Table5[[#This Row],[Delivery Fee]]-Table5[[#This Row],[Discount Amount]]</f>
        <v>270</v>
      </c>
      <c r="AB327" s="30" t="str">
        <f>_xlfn.XLOOKUP(Table5[[#This Row],[RiderID]], Rider_Directory!$F$2:$F$26, Rider_Directory!$B$2:$B$26)</f>
        <v>Biratnagar</v>
      </c>
      <c r="AC327" s="30" t="str" cm="1">
        <f t="array" ref="AC327">_xlfn.IFS(Table5[[#This Row],[Final Amount]]&lt;500, "Small", Table5[[#This Row],[Final Amount]]&lt;=1000, "Medium", Table5[[#This Row],[Final Amount]]&gt;1000, "Large")</f>
        <v>Small</v>
      </c>
      <c r="AD327" s="30" t="str">
        <f>_xlfn.LET(_xlpm.expiry,_xlfn.XLOOKUP(Table5[[#This Row],[PromoCode]],Promo_Codes!$A$2:$A$9,Promo_Codes!$F$2:$F$9,DATE(2099,1,1)),IF(Table5[[#This Row],[OrderDate]]&gt;_xlpm.expiry,"Expired Code Used","Valid"))</f>
        <v>Valid</v>
      </c>
    </row>
    <row r="330" spans="1:30" x14ac:dyDescent="0.3">
      <c r="B330" s="32" t="s">
        <v>1310</v>
      </c>
      <c r="C330" s="33">
        <f>SUMIFS(AA2:$AA$327,$G$2:$G$327,"Pokhara",O2:$O$327,"Cancelled")</f>
        <v>1744</v>
      </c>
    </row>
    <row r="332" spans="1:30" x14ac:dyDescent="0.3">
      <c r="B332" s="32" t="s">
        <v>1312</v>
      </c>
      <c r="C332" s="33">
        <f>SUBTOTAL(109,Table5[Final Amount])</f>
        <v>176407</v>
      </c>
    </row>
    <row r="334" spans="1:30" x14ac:dyDescent="0.3">
      <c r="B334" s="32" t="s">
        <v>1315</v>
      </c>
      <c r="C334" s="34">
        <f>COUNTIF(AD$2:AD$327,"Expired Code Used")</f>
        <v>19</v>
      </c>
    </row>
  </sheetData>
  <conditionalFormatting sqref="A2:A327">
    <cfRule type="duplicateValues" dxfId="3" priority="1"/>
  </conditionalFormatting>
  <conditionalFormatting sqref="R2:R327">
    <cfRule type="cellIs" dxfId="2" priority="2" operator="greaterThan">
      <formula>120</formula>
    </cfRule>
  </conditionalFormatting>
  <dataValidations count="1">
    <dataValidation type="list" allowBlank="1" showInputMessage="1" showErrorMessage="1" sqref="O2:O327" xr:uid="{3D108D6B-F481-4BAD-9245-60182579CF5D}">
      <formula1>"Delivered, Cancelled, Returned"</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80217-1535-47BB-8844-BF3B1E8A9492}">
  <dimension ref="A1:O177"/>
  <sheetViews>
    <sheetView showGridLines="0" tabSelected="1" zoomScale="95" zoomScaleNormal="95" workbookViewId="0">
      <selection activeCell="O16" sqref="O16"/>
    </sheetView>
  </sheetViews>
  <sheetFormatPr defaultRowHeight="14.4" x14ac:dyDescent="0.3"/>
  <cols>
    <col min="2" max="2" width="18.88671875" bestFit="1" customWidth="1"/>
    <col min="3" max="3" width="15.5546875" bestFit="1" customWidth="1"/>
    <col min="4" max="4" width="13.5546875" customWidth="1"/>
    <col min="5" max="5" width="30.5546875" customWidth="1"/>
    <col min="6" max="7" width="6.33203125" bestFit="1" customWidth="1"/>
    <col min="8" max="8" width="9.77734375" bestFit="1" customWidth="1"/>
    <col min="9" max="9" width="7.109375" bestFit="1" customWidth="1"/>
    <col min="10" max="10" width="9.77734375" bestFit="1" customWidth="1"/>
    <col min="11" max="12" width="10.77734375" bestFit="1" customWidth="1"/>
    <col min="13" max="13" width="13.21875" bestFit="1" customWidth="1"/>
    <col min="14" max="14" width="7" bestFit="1" customWidth="1"/>
    <col min="15" max="15" width="25.88671875" bestFit="1" customWidth="1"/>
    <col min="16" max="16" width="9.6640625" bestFit="1" customWidth="1"/>
    <col min="17" max="17" width="10.77734375" bestFit="1" customWidth="1"/>
    <col min="18" max="26" width="9.77734375" bestFit="1" customWidth="1"/>
    <col min="27" max="30" width="8.77734375" bestFit="1" customWidth="1"/>
    <col min="31" max="50" width="9.77734375" bestFit="1" customWidth="1"/>
    <col min="51" max="68" width="10.77734375" bestFit="1" customWidth="1"/>
    <col min="69" max="77" width="9.77734375" bestFit="1" customWidth="1"/>
    <col min="78" max="90" width="10.77734375" bestFit="1" customWidth="1"/>
    <col min="91" max="99" width="9.77734375" bestFit="1" customWidth="1"/>
    <col min="100" max="121" width="10.77734375" bestFit="1" customWidth="1"/>
    <col min="122" max="130" width="8.77734375" bestFit="1" customWidth="1"/>
    <col min="131" max="150" width="9.77734375" bestFit="1" customWidth="1"/>
    <col min="151" max="151" width="10.77734375" bestFit="1" customWidth="1"/>
  </cols>
  <sheetData>
    <row r="1" spans="2:13" x14ac:dyDescent="0.3">
      <c r="B1" t="s">
        <v>1316</v>
      </c>
      <c r="C1" t="s">
        <v>1317</v>
      </c>
      <c r="D1" t="s">
        <v>1331</v>
      </c>
      <c r="M1" s="33" t="s">
        <v>1390</v>
      </c>
    </row>
    <row r="2" spans="2:13" x14ac:dyDescent="0.3">
      <c r="B2" s="38">
        <f>IF($M$1="All",SUM(Table5[Final Amount]),SUMIFS(Table5[Final Amount],Table5[City],$M$1))</f>
        <v>176407</v>
      </c>
      <c r="C2">
        <f>IF($M$1="All",AVERAGE(Table5[CustomerRating]),AVERAGEIF(Table5[City],$M$1,Table5[CustomerRating]))</f>
        <v>4.0866141732283463</v>
      </c>
      <c r="D2" s="37">
        <f>IF($M$1="All",COUNTIF(Orders_Work!$O$310:$O$327,"Cancelled")/COUNTA(Table5[OrderID]),COUNTIFS(Orders_Work!$O$310:$O$327,"Cancelled",Orders_Work!$G$310:$G$327,$M$1)/COUNTIF(Orders_Work!$G$310:$G$327,$M$1))</f>
        <v>6.1349693251533744E-3</v>
      </c>
    </row>
    <row r="4" spans="2:13" x14ac:dyDescent="0.3">
      <c r="B4" t="str" cm="1">
        <f t="array" ref="B4">IF(Table7[Total Reveue]&gt;=150000,"Target Hit","Target Missed")</f>
        <v>Target Hit</v>
      </c>
      <c r="C4" t="str" cm="1">
        <f t="array" ref="C4">IF(Table7[Average Rating]&gt;= 4.3,"Target Hit", "Target Missed")</f>
        <v>Target Missed</v>
      </c>
      <c r="D4" t="str" cm="1">
        <f t="array" ref="D4">IF(Table7[Cancellation Rate]&lt;0.08,"Target Hit","Target Missed")</f>
        <v>Target Hit</v>
      </c>
    </row>
    <row r="8" spans="2:13" x14ac:dyDescent="0.3">
      <c r="B8" s="35" t="s">
        <v>1312</v>
      </c>
      <c r="C8" s="35" t="s">
        <v>1322</v>
      </c>
    </row>
    <row r="9" spans="2:13" x14ac:dyDescent="0.3">
      <c r="C9" t="s">
        <v>1320</v>
      </c>
      <c r="H9" t="s">
        <v>1329</v>
      </c>
      <c r="I9" t="s">
        <v>1321</v>
      </c>
      <c r="J9" t="s">
        <v>1330</v>
      </c>
      <c r="K9" t="s">
        <v>1319</v>
      </c>
    </row>
    <row r="10" spans="2:13" x14ac:dyDescent="0.3">
      <c r="B10" s="35" t="s">
        <v>1318</v>
      </c>
      <c r="C10" t="s">
        <v>1324</v>
      </c>
      <c r="D10" t="s">
        <v>1325</v>
      </c>
      <c r="E10" t="s">
        <v>1326</v>
      </c>
      <c r="F10" t="s">
        <v>1327</v>
      </c>
      <c r="G10" t="s">
        <v>1328</v>
      </c>
      <c r="I10" t="s">
        <v>1323</v>
      </c>
    </row>
    <row r="11" spans="2:13" x14ac:dyDescent="0.3">
      <c r="B11" s="36" t="s">
        <v>177</v>
      </c>
      <c r="C11" s="26">
        <v>145</v>
      </c>
      <c r="D11" s="26">
        <v>1647</v>
      </c>
      <c r="E11" s="26">
        <v>2730</v>
      </c>
      <c r="F11" s="26">
        <v>1372</v>
      </c>
      <c r="G11" s="26">
        <v>1200</v>
      </c>
      <c r="H11" s="26">
        <v>7094</v>
      </c>
      <c r="I11" s="26">
        <v>1815</v>
      </c>
      <c r="J11" s="26">
        <v>1815</v>
      </c>
      <c r="K11" s="26">
        <v>8909</v>
      </c>
    </row>
    <row r="12" spans="2:13" x14ac:dyDescent="0.3">
      <c r="B12" s="36" t="s">
        <v>123</v>
      </c>
      <c r="C12" s="26">
        <v>640</v>
      </c>
      <c r="D12" s="26">
        <v>3030</v>
      </c>
      <c r="E12" s="26">
        <v>5821</v>
      </c>
      <c r="F12" s="26">
        <v>2744</v>
      </c>
      <c r="G12" s="26">
        <v>3456</v>
      </c>
      <c r="H12" s="26">
        <v>15691</v>
      </c>
      <c r="I12" s="26">
        <v>4542</v>
      </c>
      <c r="J12" s="26">
        <v>4542</v>
      </c>
      <c r="K12" s="26">
        <v>20233</v>
      </c>
    </row>
    <row r="13" spans="2:13" x14ac:dyDescent="0.3">
      <c r="B13" s="36" t="s">
        <v>170</v>
      </c>
      <c r="C13" s="26">
        <v>1259</v>
      </c>
      <c r="D13" s="26">
        <v>3402</v>
      </c>
      <c r="E13" s="26">
        <v>6260.5</v>
      </c>
      <c r="F13" s="26">
        <v>5979.5</v>
      </c>
      <c r="G13" s="26">
        <v>1650</v>
      </c>
      <c r="H13" s="26">
        <v>18551</v>
      </c>
      <c r="I13" s="26">
        <v>2175</v>
      </c>
      <c r="J13" s="26">
        <v>2175</v>
      </c>
      <c r="K13" s="26">
        <v>20726</v>
      </c>
    </row>
    <row r="14" spans="2:13" x14ac:dyDescent="0.3">
      <c r="B14" s="36" t="s">
        <v>145</v>
      </c>
      <c r="C14" s="26">
        <v>1740</v>
      </c>
      <c r="D14" s="26">
        <v>1360</v>
      </c>
      <c r="E14" s="26">
        <v>4556</v>
      </c>
      <c r="F14" s="26">
        <v>1197</v>
      </c>
      <c r="G14" s="26">
        <v>4770</v>
      </c>
      <c r="H14" s="26">
        <v>13623</v>
      </c>
      <c r="I14" s="26">
        <v>4370</v>
      </c>
      <c r="J14" s="26">
        <v>4370</v>
      </c>
      <c r="K14" s="26">
        <v>17993</v>
      </c>
    </row>
    <row r="15" spans="2:13" x14ac:dyDescent="0.3">
      <c r="B15" s="36" t="s">
        <v>259</v>
      </c>
      <c r="C15" s="26">
        <v>1310</v>
      </c>
      <c r="D15" s="26">
        <v>810</v>
      </c>
      <c r="E15" s="26">
        <v>6975</v>
      </c>
      <c r="F15" s="26">
        <v>2382</v>
      </c>
      <c r="G15" s="26">
        <v>3260</v>
      </c>
      <c r="H15" s="26">
        <v>14737</v>
      </c>
      <c r="I15" s="26">
        <v>3405</v>
      </c>
      <c r="J15" s="26">
        <v>3405</v>
      </c>
      <c r="K15" s="26">
        <v>18142</v>
      </c>
    </row>
    <row r="16" spans="2:13" x14ac:dyDescent="0.3">
      <c r="B16" s="36" t="s">
        <v>135</v>
      </c>
      <c r="C16" s="26">
        <v>7548</v>
      </c>
      <c r="D16" s="26">
        <v>4485</v>
      </c>
      <c r="E16" s="26">
        <v>10257.5</v>
      </c>
      <c r="F16" s="26">
        <v>6719</v>
      </c>
      <c r="G16" s="26">
        <v>6832</v>
      </c>
      <c r="H16" s="26">
        <v>35841.5</v>
      </c>
      <c r="I16" s="26">
        <v>7444</v>
      </c>
      <c r="J16" s="26">
        <v>7444</v>
      </c>
      <c r="K16" s="26">
        <v>43285.5</v>
      </c>
    </row>
    <row r="17" spans="1:11" x14ac:dyDescent="0.3">
      <c r="B17" s="36" t="s">
        <v>198</v>
      </c>
      <c r="C17" s="26">
        <v>3424</v>
      </c>
      <c r="D17" s="26">
        <v>2885</v>
      </c>
      <c r="E17" s="26">
        <v>7722</v>
      </c>
      <c r="F17" s="26">
        <v>3346</v>
      </c>
      <c r="G17" s="26">
        <v>2330</v>
      </c>
      <c r="H17" s="26">
        <v>19707</v>
      </c>
      <c r="I17" s="26">
        <v>1904</v>
      </c>
      <c r="J17" s="26">
        <v>1904</v>
      </c>
      <c r="K17" s="26">
        <v>21611</v>
      </c>
    </row>
    <row r="18" spans="1:11" x14ac:dyDescent="0.3">
      <c r="B18" s="36" t="s">
        <v>206</v>
      </c>
      <c r="C18" s="26">
        <v>1560</v>
      </c>
      <c r="D18" s="26">
        <v>945</v>
      </c>
      <c r="E18" s="26">
        <v>6306.5</v>
      </c>
      <c r="F18" s="26">
        <v>3926</v>
      </c>
      <c r="G18" s="26">
        <v>2860</v>
      </c>
      <c r="H18" s="26">
        <v>15597.5</v>
      </c>
      <c r="I18" s="26">
        <v>7150</v>
      </c>
      <c r="J18" s="26">
        <v>7150</v>
      </c>
      <c r="K18" s="26">
        <v>22747.5</v>
      </c>
    </row>
    <row r="19" spans="1:11" x14ac:dyDescent="0.3">
      <c r="B19" s="36" t="s">
        <v>1319</v>
      </c>
      <c r="C19" s="26">
        <v>17626</v>
      </c>
      <c r="D19" s="26">
        <v>18564</v>
      </c>
      <c r="E19" s="26">
        <v>50628.5</v>
      </c>
      <c r="F19" s="26">
        <v>27665.5</v>
      </c>
      <c r="G19" s="26">
        <v>26358</v>
      </c>
      <c r="H19" s="26">
        <v>140842</v>
      </c>
      <c r="I19" s="26">
        <v>32805</v>
      </c>
      <c r="J19" s="26">
        <v>32805</v>
      </c>
      <c r="K19" s="26">
        <v>173647</v>
      </c>
    </row>
    <row r="25" spans="1:11" x14ac:dyDescent="0.3">
      <c r="A25" s="42" t="s">
        <v>68</v>
      </c>
      <c r="B25" t="s">
        <v>1388</v>
      </c>
      <c r="J25" t="s">
        <v>1389</v>
      </c>
    </row>
    <row r="27" spans="1:11" x14ac:dyDescent="0.3">
      <c r="B27" t="s">
        <v>1387</v>
      </c>
    </row>
    <row r="35" spans="3:15" x14ac:dyDescent="0.3">
      <c r="C35" s="35" t="s">
        <v>1318</v>
      </c>
      <c r="D35" t="s">
        <v>1332</v>
      </c>
    </row>
    <row r="36" spans="3:15" x14ac:dyDescent="0.3">
      <c r="C36" s="36" t="s">
        <v>140</v>
      </c>
      <c r="D36">
        <v>70</v>
      </c>
    </row>
    <row r="37" spans="3:15" x14ac:dyDescent="0.3">
      <c r="C37" s="36" t="s">
        <v>278</v>
      </c>
      <c r="D37">
        <v>17</v>
      </c>
    </row>
    <row r="38" spans="3:15" x14ac:dyDescent="0.3">
      <c r="C38" s="36" t="s">
        <v>128</v>
      </c>
      <c r="D38">
        <v>104</v>
      </c>
    </row>
    <row r="39" spans="3:15" x14ac:dyDescent="0.3">
      <c r="C39" s="36" t="s">
        <v>247</v>
      </c>
      <c r="D39">
        <v>42</v>
      </c>
    </row>
    <row r="40" spans="3:15" x14ac:dyDescent="0.3">
      <c r="C40" s="36" t="s">
        <v>159</v>
      </c>
      <c r="D40">
        <v>93</v>
      </c>
    </row>
    <row r="41" spans="3:15" x14ac:dyDescent="0.3">
      <c r="C41" s="36" t="s">
        <v>1319</v>
      </c>
      <c r="D41">
        <v>326</v>
      </c>
    </row>
    <row r="42" spans="3:15" x14ac:dyDescent="0.3">
      <c r="N42" s="42" t="s">
        <v>1356</v>
      </c>
      <c r="O42" s="41" t="s">
        <v>1313</v>
      </c>
    </row>
    <row r="43" spans="3:15" x14ac:dyDescent="0.3">
      <c r="O43" s="40" t="str" cm="1">
        <f t="array" ref="O43:O56">_xlfn._xlws.SORT(_xlfn.UNIQUE(_xlfn._xlws.FILTER(Orders_Work!H2:H327,Orders_Work!O2:O327="Cancelled")))</f>
        <v>Bhattarai Momo Center</v>
      </c>
    </row>
    <row r="44" spans="3:15" x14ac:dyDescent="0.3">
      <c r="O44" s="40" t="str">
        <v>Bhatti Sekuwa Corner</v>
      </c>
    </row>
    <row r="45" spans="3:15" x14ac:dyDescent="0.3">
      <c r="O45" s="40" t="str">
        <v>Cafe Cup</v>
      </c>
    </row>
    <row r="46" spans="3:15" x14ac:dyDescent="0.3">
      <c r="O46" s="40" t="str">
        <v>Chiya Adda</v>
      </c>
    </row>
    <row r="47" spans="3:15" x14ac:dyDescent="0.3">
      <c r="O47" s="40" t="str">
        <v>Fast Bites</v>
      </c>
    </row>
    <row r="48" spans="3:15" x14ac:dyDescent="0.3">
      <c r="O48" s="40" t="str">
        <v>Golden Dragon Kitchen</v>
      </c>
    </row>
    <row r="49" spans="1:15" x14ac:dyDescent="0.3">
      <c r="O49" s="40" t="str">
        <v>Himalayan Bakers</v>
      </c>
    </row>
    <row r="50" spans="1:15" x14ac:dyDescent="0.3">
      <c r="O50" s="40" t="str">
        <v>Himalayan Thakali Kitchen</v>
      </c>
    </row>
    <row r="51" spans="1:15" x14ac:dyDescent="0.3">
      <c r="O51" s="40" t="str">
        <v>Kathmandu Momo House</v>
      </c>
    </row>
    <row r="52" spans="1:15" x14ac:dyDescent="0.3">
      <c r="O52" s="40" t="str">
        <v>Newa Kitchen</v>
      </c>
    </row>
    <row r="53" spans="1:15" x14ac:dyDescent="0.3">
      <c r="O53" s="40" t="str">
        <v>Quick Snacks Corner</v>
      </c>
    </row>
    <row r="54" spans="1:15" x14ac:dyDescent="0.3">
      <c r="O54" s="40" t="str">
        <v>Sweet Home Bakery</v>
      </c>
    </row>
    <row r="55" spans="1:15" x14ac:dyDescent="0.3">
      <c r="O55" s="40" t="str">
        <v>Wok Point</v>
      </c>
    </row>
    <row r="56" spans="1:15" x14ac:dyDescent="0.3">
      <c r="O56" s="40" t="str">
        <v>Yeti Newari Bhoj</v>
      </c>
    </row>
    <row r="61" spans="1:15" x14ac:dyDescent="0.3">
      <c r="A61" t="s">
        <v>1386</v>
      </c>
    </row>
    <row r="87" spans="4:4" x14ac:dyDescent="0.3">
      <c r="D87" s="36"/>
    </row>
    <row r="102" spans="2:5" x14ac:dyDescent="0.3">
      <c r="B102" s="35" t="s">
        <v>1318</v>
      </c>
      <c r="C102" t="s">
        <v>1333</v>
      </c>
      <c r="D102" s="35" t="s">
        <v>1318</v>
      </c>
      <c r="E102" t="s">
        <v>1334</v>
      </c>
    </row>
    <row r="103" spans="2:5" x14ac:dyDescent="0.3">
      <c r="B103" s="36" t="s">
        <v>177</v>
      </c>
      <c r="C103">
        <v>4.333333333333333</v>
      </c>
      <c r="D103" s="36" t="s">
        <v>177</v>
      </c>
      <c r="E103" s="26">
        <v>28.19047619047619</v>
      </c>
    </row>
    <row r="104" spans="2:5" x14ac:dyDescent="0.3">
      <c r="B104" s="36" t="s">
        <v>123</v>
      </c>
      <c r="C104">
        <v>4.2666666666666666</v>
      </c>
      <c r="D104" s="36" t="s">
        <v>123</v>
      </c>
      <c r="E104" s="26">
        <v>50.5</v>
      </c>
    </row>
    <row r="105" spans="2:5" x14ac:dyDescent="0.3">
      <c r="B105" s="36" t="s">
        <v>170</v>
      </c>
      <c r="C105">
        <v>2.8928571428571428</v>
      </c>
      <c r="D105" s="36" t="s">
        <v>170</v>
      </c>
      <c r="E105" s="26">
        <v>41.903225806451616</v>
      </c>
    </row>
    <row r="106" spans="2:5" x14ac:dyDescent="0.3">
      <c r="B106" s="36" t="s">
        <v>145</v>
      </c>
      <c r="C106">
        <v>3.8</v>
      </c>
      <c r="D106" s="36" t="s">
        <v>145</v>
      </c>
      <c r="E106" s="26">
        <v>49.794117647058826</v>
      </c>
    </row>
    <row r="107" spans="2:5" x14ac:dyDescent="0.3">
      <c r="B107" s="36" t="s">
        <v>259</v>
      </c>
      <c r="C107">
        <v>3.8333333333333335</v>
      </c>
      <c r="D107" s="36" t="s">
        <v>259</v>
      </c>
      <c r="E107" s="26">
        <v>48.791666666666664</v>
      </c>
    </row>
    <row r="108" spans="2:5" x14ac:dyDescent="0.3">
      <c r="B108" s="36" t="s">
        <v>135</v>
      </c>
      <c r="C108">
        <v>4.3157894736842106</v>
      </c>
      <c r="D108" s="36" t="s">
        <v>135</v>
      </c>
      <c r="E108" s="26">
        <v>34.674698795180724</v>
      </c>
    </row>
    <row r="109" spans="2:5" x14ac:dyDescent="0.3">
      <c r="B109" s="36" t="s">
        <v>198</v>
      </c>
      <c r="C109">
        <v>4.2380952380952381</v>
      </c>
      <c r="D109" s="36" t="s">
        <v>198</v>
      </c>
      <c r="E109" s="26">
        <v>28.170212765957448</v>
      </c>
    </row>
    <row r="110" spans="2:5" x14ac:dyDescent="0.3">
      <c r="B110" s="36" t="s">
        <v>206</v>
      </c>
      <c r="C110">
        <v>4.5277777777777777</v>
      </c>
      <c r="D110" s="36" t="s">
        <v>206</v>
      </c>
      <c r="E110" s="26">
        <v>50.760869565217391</v>
      </c>
    </row>
    <row r="113" spans="2:4" x14ac:dyDescent="0.3">
      <c r="B113" s="42" t="s">
        <v>75</v>
      </c>
      <c r="C113" t="s">
        <v>1349</v>
      </c>
    </row>
    <row r="114" spans="2:4" x14ac:dyDescent="0.3">
      <c r="C114" t="s">
        <v>1350</v>
      </c>
    </row>
    <row r="118" spans="2:4" x14ac:dyDescent="0.3">
      <c r="C118" t="s">
        <v>1336</v>
      </c>
      <c r="D118" t="s">
        <v>1341</v>
      </c>
    </row>
    <row r="119" spans="2:4" x14ac:dyDescent="0.3">
      <c r="C119" t="s">
        <v>1337</v>
      </c>
      <c r="D119" s="26">
        <f>SUM(Table5[Order Amount])</f>
        <v>164450</v>
      </c>
    </row>
    <row r="120" spans="2:4" x14ac:dyDescent="0.3">
      <c r="C120" t="s">
        <v>1338</v>
      </c>
      <c r="D120">
        <f>-SUM(Table5[Discount Amount])</f>
        <v>-10153</v>
      </c>
    </row>
    <row r="121" spans="2:4" x14ac:dyDescent="0.3">
      <c r="C121" t="s">
        <v>1339</v>
      </c>
      <c r="D121" cm="1">
        <f t="array" ref="D121">-SUM(SUMIFS(Table5[Order Amount],Table5[OrderStatus],{"Cancelled","Returned"}))</f>
        <v>-30940</v>
      </c>
    </row>
    <row r="122" spans="2:4" x14ac:dyDescent="0.3">
      <c r="C122" t="s">
        <v>1342</v>
      </c>
      <c r="D122">
        <f>SUM(Table5[Delivery Fee])</f>
        <v>22110</v>
      </c>
    </row>
    <row r="123" spans="2:4" x14ac:dyDescent="0.3">
      <c r="C123" t="s">
        <v>1340</v>
      </c>
      <c r="D123">
        <f>SUM(Table5[Final Amount],Table5[OrderStatus],{"Delivered"})</f>
        <v>176407</v>
      </c>
    </row>
    <row r="138" spans="3:5" x14ac:dyDescent="0.3">
      <c r="C138" s="42" t="s">
        <v>77</v>
      </c>
      <c r="D138" t="s">
        <v>1343</v>
      </c>
    </row>
    <row r="143" spans="3:5" x14ac:dyDescent="0.3">
      <c r="C143" s="35" t="s">
        <v>1318</v>
      </c>
      <c r="D143" t="s">
        <v>1332</v>
      </c>
      <c r="E143" t="s">
        <v>1334</v>
      </c>
    </row>
    <row r="144" spans="3:5" x14ac:dyDescent="0.3">
      <c r="C144" s="36" t="s">
        <v>177</v>
      </c>
      <c r="D144">
        <v>21</v>
      </c>
      <c r="E144" s="26">
        <v>28.19047619047619</v>
      </c>
    </row>
    <row r="145" spans="2:5" x14ac:dyDescent="0.3">
      <c r="C145" s="36" t="s">
        <v>123</v>
      </c>
      <c r="D145">
        <v>40</v>
      </c>
      <c r="E145" s="26">
        <v>50.5</v>
      </c>
    </row>
    <row r="146" spans="2:5" x14ac:dyDescent="0.3">
      <c r="C146" s="36" t="s">
        <v>170</v>
      </c>
      <c r="D146">
        <v>31</v>
      </c>
      <c r="E146" s="26">
        <v>41.903225806451616</v>
      </c>
    </row>
    <row r="147" spans="2:5" x14ac:dyDescent="0.3">
      <c r="C147" s="36" t="s">
        <v>145</v>
      </c>
      <c r="D147">
        <v>34</v>
      </c>
      <c r="E147" s="26">
        <v>49.794117647058826</v>
      </c>
    </row>
    <row r="148" spans="2:5" x14ac:dyDescent="0.3">
      <c r="C148" s="36" t="s">
        <v>259</v>
      </c>
      <c r="D148">
        <v>24</v>
      </c>
      <c r="E148" s="26">
        <v>48.791666666666664</v>
      </c>
    </row>
    <row r="149" spans="2:5" x14ac:dyDescent="0.3">
      <c r="C149" s="36" t="s">
        <v>135</v>
      </c>
      <c r="D149">
        <v>83</v>
      </c>
      <c r="E149" s="26">
        <v>34.674698795180724</v>
      </c>
    </row>
    <row r="150" spans="2:5" x14ac:dyDescent="0.3">
      <c r="C150" s="36" t="s">
        <v>198</v>
      </c>
      <c r="D150">
        <v>47</v>
      </c>
      <c r="E150" s="26">
        <v>28.170212765957448</v>
      </c>
    </row>
    <row r="151" spans="2:5" x14ac:dyDescent="0.3">
      <c r="C151" s="36" t="s">
        <v>206</v>
      </c>
      <c r="D151">
        <v>46</v>
      </c>
      <c r="E151" s="26">
        <v>50.760869565217391</v>
      </c>
    </row>
    <row r="152" spans="2:5" x14ac:dyDescent="0.3">
      <c r="C152" s="36" t="s">
        <v>1319</v>
      </c>
      <c r="D152">
        <v>326</v>
      </c>
      <c r="E152" s="26">
        <v>40.834355828220858</v>
      </c>
    </row>
    <row r="159" spans="2:5" x14ac:dyDescent="0.3">
      <c r="B159" s="42" t="s">
        <v>79</v>
      </c>
      <c r="C159" t="s">
        <v>1345</v>
      </c>
    </row>
    <row r="160" spans="2:5" x14ac:dyDescent="0.3">
      <c r="C160" t="s">
        <v>1346</v>
      </c>
    </row>
    <row r="161" spans="2:3" x14ac:dyDescent="0.3">
      <c r="C161" t="s">
        <v>1344</v>
      </c>
    </row>
    <row r="165" spans="2:3" x14ac:dyDescent="0.3">
      <c r="B165" s="42" t="s">
        <v>81</v>
      </c>
      <c r="C165" t="s">
        <v>1347</v>
      </c>
    </row>
    <row r="166" spans="2:3" x14ac:dyDescent="0.3">
      <c r="C166" t="s">
        <v>1348</v>
      </c>
    </row>
    <row r="172" spans="2:3" x14ac:dyDescent="0.3">
      <c r="B172" s="42" t="s">
        <v>1391</v>
      </c>
      <c r="C172" t="s">
        <v>1392</v>
      </c>
    </row>
    <row r="173" spans="2:3" x14ac:dyDescent="0.3">
      <c r="C173" t="s">
        <v>1393</v>
      </c>
    </row>
    <row r="174" spans="2:3" x14ac:dyDescent="0.3">
      <c r="C174" t="s">
        <v>1394</v>
      </c>
    </row>
    <row r="175" spans="2:3" x14ac:dyDescent="0.3">
      <c r="C175" t="s">
        <v>1395</v>
      </c>
    </row>
    <row r="176" spans="2:3" x14ac:dyDescent="0.3">
      <c r="C176" t="s">
        <v>1396</v>
      </c>
    </row>
    <row r="177" spans="3:3" x14ac:dyDescent="0.3">
      <c r="C177" t="s">
        <v>1397</v>
      </c>
    </row>
  </sheetData>
  <conditionalFormatting sqref="B4:D4">
    <cfRule type="containsText" dxfId="1" priority="1" operator="containsText" text="Target Hit">
      <formula>NOT(ISERROR(SEARCH("Target Hit",B4)))</formula>
    </cfRule>
    <cfRule type="containsText" dxfId="0" priority="2" operator="containsText" text="Target Missed">
      <formula>NOT(ISERROR(SEARCH("Target Missed",B4)))</formula>
    </cfRule>
  </conditionalFormatting>
  <dataValidations count="1">
    <dataValidation type="list" allowBlank="1" showInputMessage="1" showErrorMessage="1" sqref="M1" xr:uid="{A79FFC5D-556E-44B2-8AE9-FC121C8A4535}">
      <formula1>"All,Bhaktapur, Biratnagar, Butwal, Chitwan, Dharan, Kathmandu, Lalitpur, Pokhara"</formula1>
    </dataValidation>
  </dataValidations>
  <pageMargins left="0.7" right="0.7" top="0.75" bottom="0.75" header="0.3" footer="0.3"/>
  <pageSetup orientation="portrait" r:id="rId6"/>
  <drawing r:id="rId7"/>
  <tableParts count="2">
    <tablePart r:id="rId8"/>
    <tablePart r:id="rId9"/>
  </tableParts>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0"/>
  <sheetViews>
    <sheetView workbookViewId="0">
      <pane ySplit="1" topLeftCell="A11" activePane="bottomLeft" state="frozen"/>
      <selection pane="bottomLeft"/>
    </sheetView>
  </sheetViews>
  <sheetFormatPr defaultRowHeight="14.4" x14ac:dyDescent="0.3"/>
  <cols>
    <col min="1" max="1" width="26" customWidth="1"/>
    <col min="2" max="2" width="16" customWidth="1"/>
    <col min="3" max="3" width="15" customWidth="1"/>
  </cols>
  <sheetData>
    <row r="1" spans="1:3" ht="30" customHeight="1" x14ac:dyDescent="0.3">
      <c r="A1" s="18" t="s">
        <v>111</v>
      </c>
      <c r="B1" s="18" t="s">
        <v>110</v>
      </c>
      <c r="C1" s="18" t="s">
        <v>1057</v>
      </c>
    </row>
    <row r="2" spans="1:3" x14ac:dyDescent="0.3">
      <c r="A2" s="15" t="s">
        <v>301</v>
      </c>
      <c r="B2" s="15" t="s">
        <v>233</v>
      </c>
      <c r="C2" s="19">
        <v>150</v>
      </c>
    </row>
    <row r="3" spans="1:3" x14ac:dyDescent="0.3">
      <c r="A3" s="15" t="s">
        <v>276</v>
      </c>
      <c r="B3" s="15" t="s">
        <v>233</v>
      </c>
      <c r="C3" s="19">
        <v>190</v>
      </c>
    </row>
    <row r="4" spans="1:3" x14ac:dyDescent="0.3">
      <c r="A4" s="15" t="s">
        <v>234</v>
      </c>
      <c r="B4" s="15" t="s">
        <v>233</v>
      </c>
      <c r="C4" s="19">
        <v>170</v>
      </c>
    </row>
    <row r="5" spans="1:3" x14ac:dyDescent="0.3">
      <c r="A5" s="15" t="s">
        <v>246</v>
      </c>
      <c r="B5" s="15" t="s">
        <v>233</v>
      </c>
      <c r="C5" s="19">
        <v>210</v>
      </c>
    </row>
    <row r="6" spans="1:3" x14ac:dyDescent="0.3">
      <c r="A6" s="15" t="s">
        <v>345</v>
      </c>
      <c r="B6" s="15" t="s">
        <v>233</v>
      </c>
      <c r="C6" s="19">
        <v>160</v>
      </c>
    </row>
    <row r="7" spans="1:3" x14ac:dyDescent="0.3">
      <c r="A7" s="15" t="s">
        <v>363</v>
      </c>
      <c r="B7" s="15" t="s">
        <v>233</v>
      </c>
      <c r="C7" s="19">
        <v>200</v>
      </c>
    </row>
    <row r="8" spans="1:3" x14ac:dyDescent="0.3">
      <c r="A8" s="15" t="s">
        <v>499</v>
      </c>
      <c r="B8" s="15" t="s">
        <v>233</v>
      </c>
      <c r="C8" s="19">
        <v>220</v>
      </c>
    </row>
    <row r="9" spans="1:3" x14ac:dyDescent="0.3">
      <c r="A9" s="15" t="s">
        <v>382</v>
      </c>
      <c r="B9" s="15" t="s">
        <v>125</v>
      </c>
      <c r="C9" s="19">
        <v>180</v>
      </c>
    </row>
    <row r="10" spans="1:3" x14ac:dyDescent="0.3">
      <c r="A10" s="15" t="s">
        <v>217</v>
      </c>
      <c r="B10" s="15" t="s">
        <v>125</v>
      </c>
      <c r="C10" s="19">
        <v>210</v>
      </c>
    </row>
    <row r="11" spans="1:3" x14ac:dyDescent="0.3">
      <c r="A11" s="15" t="s">
        <v>126</v>
      </c>
      <c r="B11" s="15" t="s">
        <v>125</v>
      </c>
      <c r="C11" s="19">
        <v>160</v>
      </c>
    </row>
    <row r="12" spans="1:3" x14ac:dyDescent="0.3">
      <c r="A12" s="15" t="s">
        <v>571</v>
      </c>
      <c r="B12" s="15" t="s">
        <v>125</v>
      </c>
      <c r="C12" s="19">
        <v>320</v>
      </c>
    </row>
    <row r="13" spans="1:3" x14ac:dyDescent="0.3">
      <c r="A13" s="15" t="s">
        <v>697</v>
      </c>
      <c r="B13" s="15" t="s">
        <v>125</v>
      </c>
      <c r="C13" s="19">
        <v>120</v>
      </c>
    </row>
    <row r="14" spans="1:3" x14ac:dyDescent="0.3">
      <c r="A14" s="15" t="s">
        <v>295</v>
      </c>
      <c r="B14" s="15" t="s">
        <v>125</v>
      </c>
      <c r="C14" s="19">
        <v>350</v>
      </c>
    </row>
    <row r="15" spans="1:3" x14ac:dyDescent="0.3">
      <c r="A15" s="15" t="s">
        <v>269</v>
      </c>
      <c r="B15" s="15" t="s">
        <v>137</v>
      </c>
      <c r="C15" s="19">
        <v>380</v>
      </c>
    </row>
    <row r="16" spans="1:3" x14ac:dyDescent="0.3">
      <c r="A16" s="15" t="s">
        <v>138</v>
      </c>
      <c r="B16" s="15" t="s">
        <v>137</v>
      </c>
      <c r="C16" s="19">
        <v>480</v>
      </c>
    </row>
    <row r="17" spans="1:3" x14ac:dyDescent="0.3">
      <c r="A17" s="15" t="s">
        <v>593</v>
      </c>
      <c r="B17" s="15" t="s">
        <v>137</v>
      </c>
      <c r="C17" s="19">
        <v>650</v>
      </c>
    </row>
    <row r="18" spans="1:3" x14ac:dyDescent="0.3">
      <c r="A18" s="15" t="s">
        <v>638</v>
      </c>
      <c r="B18" s="15" t="s">
        <v>351</v>
      </c>
      <c r="C18" s="19">
        <v>420</v>
      </c>
    </row>
    <row r="19" spans="1:3" x14ac:dyDescent="0.3">
      <c r="A19" s="15" t="s">
        <v>352</v>
      </c>
      <c r="B19" s="15" t="s">
        <v>351</v>
      </c>
      <c r="C19" s="19">
        <v>380</v>
      </c>
    </row>
    <row r="20" spans="1:3" x14ac:dyDescent="0.3">
      <c r="A20" s="15" t="s">
        <v>539</v>
      </c>
      <c r="B20" s="15" t="s">
        <v>351</v>
      </c>
      <c r="C20" s="19">
        <v>600</v>
      </c>
    </row>
    <row r="21" spans="1:3" x14ac:dyDescent="0.3">
      <c r="A21" s="15" t="s">
        <v>264</v>
      </c>
      <c r="B21" s="15" t="s">
        <v>147</v>
      </c>
      <c r="C21" s="19">
        <v>250</v>
      </c>
    </row>
    <row r="22" spans="1:3" x14ac:dyDescent="0.3">
      <c r="A22" s="15" t="s">
        <v>172</v>
      </c>
      <c r="B22" s="15" t="s">
        <v>147</v>
      </c>
      <c r="C22" s="19">
        <v>150</v>
      </c>
    </row>
    <row r="23" spans="1:3" x14ac:dyDescent="0.3">
      <c r="A23" s="15" t="s">
        <v>186</v>
      </c>
      <c r="B23" s="15" t="s">
        <v>147</v>
      </c>
      <c r="C23" s="19">
        <v>140</v>
      </c>
    </row>
    <row r="24" spans="1:3" x14ac:dyDescent="0.3">
      <c r="A24" s="15" t="s">
        <v>559</v>
      </c>
      <c r="B24" s="15" t="s">
        <v>147</v>
      </c>
      <c r="C24" s="19">
        <v>180</v>
      </c>
    </row>
    <row r="25" spans="1:3" x14ac:dyDescent="0.3">
      <c r="A25" s="15" t="s">
        <v>148</v>
      </c>
      <c r="B25" s="15" t="s">
        <v>147</v>
      </c>
      <c r="C25" s="19">
        <v>220</v>
      </c>
    </row>
    <row r="26" spans="1:3" x14ac:dyDescent="0.3">
      <c r="A26" s="15" t="s">
        <v>327</v>
      </c>
      <c r="B26" s="15" t="s">
        <v>164</v>
      </c>
      <c r="C26" s="19">
        <v>60</v>
      </c>
    </row>
    <row r="27" spans="1:3" x14ac:dyDescent="0.3">
      <c r="A27" s="15" t="s">
        <v>372</v>
      </c>
      <c r="B27" s="15" t="s">
        <v>164</v>
      </c>
      <c r="C27" s="19">
        <v>90</v>
      </c>
    </row>
    <row r="28" spans="1:3" x14ac:dyDescent="0.3">
      <c r="A28" s="15" t="s">
        <v>521</v>
      </c>
      <c r="B28" s="15" t="s">
        <v>164</v>
      </c>
      <c r="C28" s="19">
        <v>130</v>
      </c>
    </row>
    <row r="29" spans="1:3" x14ac:dyDescent="0.3">
      <c r="A29" s="15" t="s">
        <v>517</v>
      </c>
      <c r="B29" s="15" t="s">
        <v>164</v>
      </c>
      <c r="C29" s="19">
        <v>120</v>
      </c>
    </row>
    <row r="30" spans="1:3" x14ac:dyDescent="0.3">
      <c r="A30" s="15" t="s">
        <v>393</v>
      </c>
      <c r="B30" s="15" t="s">
        <v>164</v>
      </c>
      <c r="C30" s="19">
        <v>100</v>
      </c>
    </row>
    <row r="31" spans="1:3" x14ac:dyDescent="0.3">
      <c r="A31" s="15" t="s">
        <v>421</v>
      </c>
      <c r="B31" s="15" t="s">
        <v>179</v>
      </c>
      <c r="C31" s="19">
        <v>280</v>
      </c>
    </row>
    <row r="32" spans="1:3" x14ac:dyDescent="0.3">
      <c r="A32" s="15" t="s">
        <v>368</v>
      </c>
      <c r="B32" s="15" t="s">
        <v>179</v>
      </c>
      <c r="C32" s="19">
        <v>220</v>
      </c>
    </row>
    <row r="33" spans="1:3" x14ac:dyDescent="0.3">
      <c r="A33" s="15" t="s">
        <v>297</v>
      </c>
      <c r="B33" s="15" t="s">
        <v>179</v>
      </c>
      <c r="C33" s="19">
        <v>250</v>
      </c>
    </row>
    <row r="34" spans="1:3" x14ac:dyDescent="0.3">
      <c r="A34" s="15" t="s">
        <v>180</v>
      </c>
      <c r="B34" s="15" t="s">
        <v>179</v>
      </c>
      <c r="C34" s="19">
        <v>220</v>
      </c>
    </row>
    <row r="35" spans="1:3" x14ac:dyDescent="0.3">
      <c r="A35" s="15" t="s">
        <v>453</v>
      </c>
      <c r="B35" s="15" t="s">
        <v>179</v>
      </c>
      <c r="C35" s="19">
        <v>550</v>
      </c>
    </row>
    <row r="36" spans="1:3" x14ac:dyDescent="0.3">
      <c r="A36" s="15" t="s">
        <v>200</v>
      </c>
      <c r="B36" s="15" t="s">
        <v>179</v>
      </c>
      <c r="C36" s="19">
        <v>650</v>
      </c>
    </row>
    <row r="37" spans="1:3" x14ac:dyDescent="0.3">
      <c r="A37" s="15" t="s">
        <v>465</v>
      </c>
      <c r="B37" s="15" t="s">
        <v>179</v>
      </c>
      <c r="C37" s="19">
        <v>160</v>
      </c>
    </row>
    <row r="38" spans="1:3" x14ac:dyDescent="0.3">
      <c r="A38" s="15" t="s">
        <v>157</v>
      </c>
      <c r="B38" s="15" t="s">
        <v>156</v>
      </c>
      <c r="C38" s="19">
        <v>320</v>
      </c>
    </row>
    <row r="39" spans="1:3" x14ac:dyDescent="0.3">
      <c r="A39" s="15" t="s">
        <v>389</v>
      </c>
      <c r="B39" s="15" t="s">
        <v>156</v>
      </c>
      <c r="C39" s="19">
        <v>260</v>
      </c>
    </row>
    <row r="40" spans="1:3" x14ac:dyDescent="0.3">
      <c r="A40" s="15" t="s">
        <v>317</v>
      </c>
      <c r="B40" s="15" t="s">
        <v>156</v>
      </c>
      <c r="C40" s="19">
        <v>260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6"/>
  <sheetViews>
    <sheetView workbookViewId="0">
      <pane ySplit="1" topLeftCell="A2" activePane="bottomLeft" state="frozen"/>
      <selection pane="bottomLeft" activeCell="I20" sqref="I20"/>
    </sheetView>
  </sheetViews>
  <sheetFormatPr defaultRowHeight="14.4" x14ac:dyDescent="0.3"/>
  <cols>
    <col min="1" max="1" width="20" customWidth="1"/>
    <col min="2" max="2" width="14" customWidth="1"/>
    <col min="3" max="4" width="13" customWidth="1"/>
    <col min="5" max="5" width="12" customWidth="1"/>
    <col min="6" max="6" width="10" customWidth="1"/>
    <col min="7" max="7" width="16.6640625" bestFit="1" customWidth="1"/>
  </cols>
  <sheetData>
    <row r="1" spans="1:7" ht="30" customHeight="1" x14ac:dyDescent="0.3">
      <c r="A1" s="18" t="s">
        <v>1058</v>
      </c>
      <c r="B1" s="18" t="s">
        <v>1059</v>
      </c>
      <c r="C1" s="18" t="s">
        <v>1060</v>
      </c>
      <c r="D1" s="18" t="s">
        <v>1061</v>
      </c>
      <c r="E1" s="18" t="s">
        <v>1062</v>
      </c>
      <c r="F1" s="18" t="s">
        <v>113</v>
      </c>
      <c r="G1" s="39" t="s">
        <v>1311</v>
      </c>
    </row>
    <row r="2" spans="1:7" x14ac:dyDescent="0.3">
      <c r="A2" s="15" t="s">
        <v>1063</v>
      </c>
      <c r="B2" s="15" t="s">
        <v>135</v>
      </c>
      <c r="C2" s="15" t="s">
        <v>1064</v>
      </c>
      <c r="D2" s="16">
        <v>45420</v>
      </c>
      <c r="E2" s="15" t="s">
        <v>1065</v>
      </c>
      <c r="F2" s="15" t="s">
        <v>218</v>
      </c>
      <c r="G2">
        <f>COUNTIFS(Orders_Work!L2:$L$327,F2,Orders_Work!O2:$O$327,"Delivered")</f>
        <v>8</v>
      </c>
    </row>
    <row r="3" spans="1:7" x14ac:dyDescent="0.3">
      <c r="A3" s="15" t="s">
        <v>511</v>
      </c>
      <c r="B3" s="15" t="s">
        <v>135</v>
      </c>
      <c r="C3" s="15" t="s">
        <v>1066</v>
      </c>
      <c r="D3" s="16">
        <v>45538</v>
      </c>
      <c r="E3" s="15" t="s">
        <v>1065</v>
      </c>
      <c r="F3" s="15" t="s">
        <v>187</v>
      </c>
      <c r="G3">
        <f>COUNTIFS(Orders_Work!L3:$L$327,F3,Orders_Work!O3:$O$327,"Delivered")</f>
        <v>10</v>
      </c>
    </row>
    <row r="4" spans="1:7" x14ac:dyDescent="0.3">
      <c r="A4" s="15" t="s">
        <v>1067</v>
      </c>
      <c r="B4" s="15" t="s">
        <v>135</v>
      </c>
      <c r="C4" s="15" t="s">
        <v>1064</v>
      </c>
      <c r="D4" s="16">
        <v>45399</v>
      </c>
      <c r="E4" s="15" t="s">
        <v>1065</v>
      </c>
      <c r="F4" s="15" t="s">
        <v>223</v>
      </c>
      <c r="G4">
        <f>COUNTIFS(Orders_Work!L4:$L$327,F4,Orders_Work!O4:$O$327,"Delivered")</f>
        <v>10</v>
      </c>
    </row>
    <row r="5" spans="1:7" x14ac:dyDescent="0.3">
      <c r="A5" s="15" t="s">
        <v>1068</v>
      </c>
      <c r="B5" s="15" t="s">
        <v>135</v>
      </c>
      <c r="C5" s="15" t="s">
        <v>1066</v>
      </c>
      <c r="D5" s="16">
        <v>45644</v>
      </c>
      <c r="E5" s="15" t="s">
        <v>1065</v>
      </c>
      <c r="F5" s="15" t="s">
        <v>265</v>
      </c>
      <c r="G5">
        <f>COUNTIFS(Orders_Work!L5:$L$327,F5,Orders_Work!O5:$O$327,"Delivered")</f>
        <v>11</v>
      </c>
    </row>
    <row r="6" spans="1:7" x14ac:dyDescent="0.3">
      <c r="A6" s="15" t="s">
        <v>1069</v>
      </c>
      <c r="B6" s="15" t="s">
        <v>135</v>
      </c>
      <c r="C6" s="15" t="s">
        <v>1066</v>
      </c>
      <c r="D6" s="16">
        <v>45316</v>
      </c>
      <c r="E6" s="15" t="s">
        <v>1065</v>
      </c>
      <c r="F6" s="15" t="s">
        <v>277</v>
      </c>
      <c r="G6">
        <f>COUNTIFS(Orders_Work!L6:$L$327,F6,Orders_Work!O6:$O$327,"Delivered")</f>
        <v>10</v>
      </c>
    </row>
    <row r="7" spans="1:7" x14ac:dyDescent="0.3">
      <c r="A7" s="15" t="s">
        <v>1070</v>
      </c>
      <c r="B7" s="15" t="s">
        <v>135</v>
      </c>
      <c r="C7" s="15" t="s">
        <v>1064</v>
      </c>
      <c r="D7" s="16">
        <v>45358</v>
      </c>
      <c r="E7" s="15" t="s">
        <v>1065</v>
      </c>
      <c r="F7" s="15" t="s">
        <v>139</v>
      </c>
      <c r="G7">
        <f>COUNTIFS(Orders_Work!L7:$L$327,F7,Orders_Work!O7:$O$327,"Delivered")</f>
        <v>14</v>
      </c>
    </row>
    <row r="8" spans="1:7" x14ac:dyDescent="0.3">
      <c r="A8" s="15" t="s">
        <v>1071</v>
      </c>
      <c r="B8" s="15" t="s">
        <v>198</v>
      </c>
      <c r="C8" s="15" t="s">
        <v>1064</v>
      </c>
      <c r="D8" s="16">
        <v>45334</v>
      </c>
      <c r="E8" s="15" t="s">
        <v>1065</v>
      </c>
      <c r="F8" s="15" t="s">
        <v>213</v>
      </c>
      <c r="G8">
        <f>COUNTIFS(Orders_Work!L8:$L$327,F8,Orders_Work!O8:$O$327,"Delivered")</f>
        <v>18</v>
      </c>
    </row>
    <row r="9" spans="1:7" x14ac:dyDescent="0.3">
      <c r="A9" s="15" t="s">
        <v>1072</v>
      </c>
      <c r="B9" s="15" t="s">
        <v>198</v>
      </c>
      <c r="C9" s="15" t="s">
        <v>1066</v>
      </c>
      <c r="D9" s="16">
        <v>45641</v>
      </c>
      <c r="E9" s="15" t="s">
        <v>1065</v>
      </c>
      <c r="F9" s="15" t="s">
        <v>201</v>
      </c>
      <c r="G9">
        <f>COUNTIFS(Orders_Work!L9:$L$327,F9,Orders_Work!O9:$O$327,"Delivered")</f>
        <v>13</v>
      </c>
    </row>
    <row r="10" spans="1:7" x14ac:dyDescent="0.3">
      <c r="A10" s="15" t="s">
        <v>896</v>
      </c>
      <c r="B10" s="15" t="s">
        <v>198</v>
      </c>
      <c r="C10" s="15" t="s">
        <v>1066</v>
      </c>
      <c r="D10" s="16">
        <v>45616</v>
      </c>
      <c r="E10" s="15" t="s">
        <v>1065</v>
      </c>
      <c r="F10" s="15" t="s">
        <v>251</v>
      </c>
      <c r="G10">
        <f>COUNTIFS(Orders_Work!L10:$L$327,F10,Orders_Work!O10:$O$327,"Delivered")</f>
        <v>8</v>
      </c>
    </row>
    <row r="11" spans="1:7" x14ac:dyDescent="0.3">
      <c r="A11" s="15" t="s">
        <v>1073</v>
      </c>
      <c r="B11" s="15" t="s">
        <v>177</v>
      </c>
      <c r="C11" s="15" t="s">
        <v>1066</v>
      </c>
      <c r="D11" s="16">
        <v>45313</v>
      </c>
      <c r="E11" s="15" t="s">
        <v>1065</v>
      </c>
      <c r="F11" s="15" t="s">
        <v>713</v>
      </c>
      <c r="G11">
        <f>COUNTIFS(Orders_Work!L11:$L$327,F11,Orders_Work!O11:$O$327,"Delivered")</f>
        <v>8</v>
      </c>
    </row>
    <row r="12" spans="1:7" x14ac:dyDescent="0.3">
      <c r="A12" s="15" t="s">
        <v>1074</v>
      </c>
      <c r="B12" s="15" t="s">
        <v>177</v>
      </c>
      <c r="C12" s="15" t="s">
        <v>1066</v>
      </c>
      <c r="D12" s="16">
        <v>45335</v>
      </c>
      <c r="E12" s="15" t="s">
        <v>1065</v>
      </c>
      <c r="F12" s="15" t="s">
        <v>181</v>
      </c>
      <c r="G12">
        <f>COUNTIFS(Orders_Work!L12:$L$327,F12,Orders_Work!O12:$O$327,"Delivered")</f>
        <v>9</v>
      </c>
    </row>
    <row r="13" spans="1:7" x14ac:dyDescent="0.3">
      <c r="A13" s="15" t="s">
        <v>1075</v>
      </c>
      <c r="B13" s="15" t="s">
        <v>206</v>
      </c>
      <c r="C13" s="15" t="s">
        <v>1064</v>
      </c>
      <c r="D13" s="16">
        <v>45450</v>
      </c>
      <c r="E13" s="15" t="s">
        <v>1065</v>
      </c>
      <c r="F13" s="15" t="s">
        <v>358</v>
      </c>
      <c r="G13">
        <f>COUNTIFS(Orders_Work!L13:$L$327,F13,Orders_Work!O13:$O$327,"Delivered")</f>
        <v>9</v>
      </c>
    </row>
    <row r="14" spans="1:7" x14ac:dyDescent="0.3">
      <c r="A14" s="15" t="s">
        <v>1076</v>
      </c>
      <c r="B14" s="15" t="s">
        <v>206</v>
      </c>
      <c r="C14" s="15" t="s">
        <v>1066</v>
      </c>
      <c r="D14" s="16">
        <v>45369</v>
      </c>
      <c r="E14" s="15" t="s">
        <v>1065</v>
      </c>
      <c r="F14" s="15" t="s">
        <v>353</v>
      </c>
      <c r="G14">
        <f>COUNTIFS(Orders_Work!L14:$L$327,F14,Orders_Work!O14:$O$327,"Delivered")</f>
        <v>10</v>
      </c>
    </row>
    <row r="15" spans="1:7" x14ac:dyDescent="0.3">
      <c r="A15" s="15" t="s">
        <v>1077</v>
      </c>
      <c r="B15" s="15" t="s">
        <v>206</v>
      </c>
      <c r="C15" s="15" t="s">
        <v>1064</v>
      </c>
      <c r="D15" s="16">
        <v>45619</v>
      </c>
      <c r="E15" s="15" t="s">
        <v>1065</v>
      </c>
      <c r="F15" s="15" t="s">
        <v>298</v>
      </c>
      <c r="G15">
        <f>COUNTIFS(Orders_Work!L15:$L$327,F15,Orders_Work!O15:$O$327,"Delivered")</f>
        <v>10</v>
      </c>
    </row>
    <row r="16" spans="1:7" x14ac:dyDescent="0.3">
      <c r="A16" s="15" t="s">
        <v>1078</v>
      </c>
      <c r="B16" s="15" t="s">
        <v>206</v>
      </c>
      <c r="C16" s="15" t="s">
        <v>1066</v>
      </c>
      <c r="D16" s="16">
        <v>45299</v>
      </c>
      <c r="E16" s="15" t="s">
        <v>1065</v>
      </c>
      <c r="F16" s="15" t="s">
        <v>208</v>
      </c>
      <c r="G16">
        <f>COUNTIFS(Orders_Work!L16:$L$327,F16,Orders_Work!O16:$O$327,"Delivered")</f>
        <v>8</v>
      </c>
    </row>
    <row r="17" spans="1:9" x14ac:dyDescent="0.3">
      <c r="A17" s="15" t="s">
        <v>1079</v>
      </c>
      <c r="B17" s="15" t="s">
        <v>123</v>
      </c>
      <c r="C17" s="15" t="s">
        <v>1064</v>
      </c>
      <c r="D17" s="16">
        <v>45329</v>
      </c>
      <c r="E17" s="15" t="s">
        <v>1065</v>
      </c>
      <c r="F17" s="15" t="s">
        <v>290</v>
      </c>
      <c r="G17">
        <f>COUNTIFS(Orders_Work!L17:$L$327,F17,Orders_Work!O17:$O$327,"Delivered")</f>
        <v>8</v>
      </c>
    </row>
    <row r="18" spans="1:9" x14ac:dyDescent="0.3">
      <c r="A18" s="15" t="s">
        <v>1080</v>
      </c>
      <c r="B18" s="15" t="s">
        <v>123</v>
      </c>
      <c r="C18" s="15" t="s">
        <v>1064</v>
      </c>
      <c r="D18" s="16">
        <v>45517</v>
      </c>
      <c r="E18" s="15" t="s">
        <v>1065</v>
      </c>
      <c r="F18" s="15" t="s">
        <v>166</v>
      </c>
      <c r="G18">
        <f>COUNTIFS(Orders_Work!L18:$L$327,F18,Orders_Work!O18:$O$327,"Delivered")</f>
        <v>13</v>
      </c>
    </row>
    <row r="19" spans="1:9" x14ac:dyDescent="0.3">
      <c r="A19" s="15" t="s">
        <v>1081</v>
      </c>
      <c r="B19" s="15" t="s">
        <v>123</v>
      </c>
      <c r="C19" s="15" t="s">
        <v>1064</v>
      </c>
      <c r="D19" s="16">
        <v>45359</v>
      </c>
      <c r="E19" s="15" t="s">
        <v>1065</v>
      </c>
      <c r="F19" s="15" t="s">
        <v>127</v>
      </c>
      <c r="G19">
        <f>COUNTIFS(Orders_Work!L19:$L$327,F19,Orders_Work!O19:$O$327,"Delivered")</f>
        <v>7</v>
      </c>
    </row>
    <row r="20" spans="1:9" x14ac:dyDescent="0.3">
      <c r="A20" s="15" t="s">
        <v>1082</v>
      </c>
      <c r="B20" s="15" t="s">
        <v>170</v>
      </c>
      <c r="C20" s="15" t="s">
        <v>1066</v>
      </c>
      <c r="D20" s="16">
        <v>45492</v>
      </c>
      <c r="E20" s="15" t="s">
        <v>1065</v>
      </c>
      <c r="F20" s="15" t="s">
        <v>158</v>
      </c>
      <c r="G20">
        <f>COUNTIFS(Orders_Work!L20:$L$327,F20,Orders_Work!O20:$O$327,"Delivered")</f>
        <v>9</v>
      </c>
      <c r="I20" t="s">
        <v>1335</v>
      </c>
    </row>
    <row r="21" spans="1:9" x14ac:dyDescent="0.3">
      <c r="A21" s="15" t="s">
        <v>1083</v>
      </c>
      <c r="B21" s="15" t="s">
        <v>170</v>
      </c>
      <c r="C21" s="15" t="s">
        <v>1064</v>
      </c>
      <c r="D21" s="16">
        <v>45347</v>
      </c>
      <c r="E21" s="15" t="s">
        <v>1084</v>
      </c>
      <c r="F21" s="15" t="s">
        <v>173</v>
      </c>
      <c r="G21">
        <f>COUNTIFS(Orders_Work!L21:$L$327,F21,Orders_Work!O21:$O$327,"Delivered")</f>
        <v>17</v>
      </c>
    </row>
    <row r="22" spans="1:9" x14ac:dyDescent="0.3">
      <c r="A22" s="15" t="s">
        <v>1085</v>
      </c>
      <c r="B22" s="15" t="s">
        <v>145</v>
      </c>
      <c r="C22" s="15" t="s">
        <v>1066</v>
      </c>
      <c r="D22" s="16">
        <v>45610</v>
      </c>
      <c r="E22" s="15" t="s">
        <v>1065</v>
      </c>
      <c r="F22" s="15" t="s">
        <v>149</v>
      </c>
      <c r="G22">
        <f>COUNTIFS(Orders_Work!L22:$L$327,F22,Orders_Work!O22:$O$327,"Delivered")</f>
        <v>12</v>
      </c>
    </row>
    <row r="23" spans="1:9" x14ac:dyDescent="0.3">
      <c r="A23" s="15" t="s">
        <v>1086</v>
      </c>
      <c r="B23" s="15" t="s">
        <v>145</v>
      </c>
      <c r="C23" s="15" t="s">
        <v>1066</v>
      </c>
      <c r="D23" s="16">
        <v>45521</v>
      </c>
      <c r="E23" s="15" t="s">
        <v>1065</v>
      </c>
      <c r="F23" s="15" t="s">
        <v>450</v>
      </c>
      <c r="G23">
        <f>COUNTIFS(Orders_Work!L23:$L$327,F23,Orders_Work!O23:$O$327,"Delivered")</f>
        <v>5</v>
      </c>
    </row>
    <row r="24" spans="1:9" x14ac:dyDescent="0.3">
      <c r="A24" s="15" t="s">
        <v>1087</v>
      </c>
      <c r="B24" s="15" t="s">
        <v>145</v>
      </c>
      <c r="C24" s="15" t="s">
        <v>1066</v>
      </c>
      <c r="D24" s="16">
        <v>45344</v>
      </c>
      <c r="E24" s="15" t="s">
        <v>1065</v>
      </c>
      <c r="F24" s="15" t="s">
        <v>307</v>
      </c>
      <c r="G24">
        <f>COUNTIFS(Orders_Work!L24:$L$327,F24,Orders_Work!O24:$O$327,"Delivered")</f>
        <v>8</v>
      </c>
    </row>
    <row r="25" spans="1:9" x14ac:dyDescent="0.3">
      <c r="A25" s="15" t="s">
        <v>1088</v>
      </c>
      <c r="B25" s="15" t="s">
        <v>259</v>
      </c>
      <c r="C25" s="15" t="s">
        <v>1066</v>
      </c>
      <c r="D25" s="16">
        <v>45447</v>
      </c>
      <c r="E25" s="15" t="s">
        <v>1065</v>
      </c>
      <c r="F25" s="15" t="s">
        <v>260</v>
      </c>
      <c r="G25">
        <f>COUNTIFS(Orders_Work!L25:$L$327,F25,Orders_Work!O25:$O$327,"Delivered")</f>
        <v>11</v>
      </c>
    </row>
    <row r="26" spans="1:9" x14ac:dyDescent="0.3">
      <c r="A26" s="15" t="s">
        <v>1077</v>
      </c>
      <c r="B26" s="15" t="s">
        <v>259</v>
      </c>
      <c r="C26" s="15" t="s">
        <v>1064</v>
      </c>
      <c r="D26" s="16">
        <v>45650</v>
      </c>
      <c r="E26" s="15" t="s">
        <v>1065</v>
      </c>
      <c r="F26" s="15" t="s">
        <v>474</v>
      </c>
      <c r="G26">
        <f>COUNTIFS(Orders_Work!L26:$L$327,F26,Orders_Work!O26:$O$327,"Delivered")</f>
        <v>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pane ySplit="1" topLeftCell="A2" activePane="bottomLeft" state="frozen"/>
      <selection pane="bottomLeft"/>
    </sheetView>
  </sheetViews>
  <sheetFormatPr defaultRowHeight="14.4" x14ac:dyDescent="0.3"/>
  <cols>
    <col min="1" max="1" width="13" customWidth="1"/>
    <col min="2" max="2" width="26" customWidth="1"/>
    <col min="3" max="6" width="13" customWidth="1"/>
  </cols>
  <sheetData>
    <row r="1" spans="1:6" ht="30" customHeight="1" x14ac:dyDescent="0.3">
      <c r="A1" s="18" t="s">
        <v>115</v>
      </c>
      <c r="B1" s="18" t="s">
        <v>1089</v>
      </c>
      <c r="C1" s="18" t="s">
        <v>1090</v>
      </c>
      <c r="D1" s="18" t="s">
        <v>1091</v>
      </c>
      <c r="E1" s="18" t="s">
        <v>1092</v>
      </c>
      <c r="F1" s="18" t="s">
        <v>1093</v>
      </c>
    </row>
    <row r="2" spans="1:6" x14ac:dyDescent="0.3">
      <c r="A2" s="15" t="s">
        <v>336</v>
      </c>
      <c r="B2" s="15" t="s">
        <v>1094</v>
      </c>
      <c r="C2" s="15" t="s">
        <v>1095</v>
      </c>
      <c r="D2" s="15">
        <v>50</v>
      </c>
      <c r="E2" s="16">
        <v>45870</v>
      </c>
      <c r="F2" s="16">
        <v>46053</v>
      </c>
    </row>
    <row r="3" spans="1:6" x14ac:dyDescent="0.3">
      <c r="A3" s="15" t="s">
        <v>129</v>
      </c>
      <c r="B3" s="15" t="s">
        <v>1096</v>
      </c>
      <c r="C3" s="15" t="s">
        <v>1095</v>
      </c>
      <c r="D3" s="15">
        <v>100</v>
      </c>
      <c r="E3" s="16">
        <v>45870</v>
      </c>
      <c r="F3" s="16">
        <v>45945</v>
      </c>
    </row>
    <row r="4" spans="1:6" x14ac:dyDescent="0.3">
      <c r="A4" s="15" t="s">
        <v>240</v>
      </c>
      <c r="B4" s="15" t="s">
        <v>1097</v>
      </c>
      <c r="C4" s="15" t="s">
        <v>1098</v>
      </c>
      <c r="D4" s="15">
        <v>20</v>
      </c>
      <c r="E4" s="16">
        <v>45870</v>
      </c>
      <c r="F4" s="16">
        <v>46053</v>
      </c>
    </row>
    <row r="5" spans="1:6" x14ac:dyDescent="0.3">
      <c r="A5" s="15" t="s">
        <v>188</v>
      </c>
      <c r="B5" s="15" t="s">
        <v>1099</v>
      </c>
      <c r="C5" s="15" t="s">
        <v>1098</v>
      </c>
      <c r="D5" s="15">
        <v>10</v>
      </c>
      <c r="E5" s="16">
        <v>45920</v>
      </c>
      <c r="F5" s="16">
        <v>45955</v>
      </c>
    </row>
    <row r="6" spans="1:6" x14ac:dyDescent="0.3">
      <c r="A6" s="15" t="s">
        <v>182</v>
      </c>
      <c r="B6" s="15" t="s">
        <v>1100</v>
      </c>
      <c r="C6" s="15" t="s">
        <v>1098</v>
      </c>
      <c r="D6" s="15">
        <v>15</v>
      </c>
      <c r="E6" s="16">
        <v>45956</v>
      </c>
      <c r="F6" s="16">
        <v>45973</v>
      </c>
    </row>
    <row r="7" spans="1:6" x14ac:dyDescent="0.3">
      <c r="A7" s="15" t="s">
        <v>529</v>
      </c>
      <c r="B7" s="15" t="s">
        <v>1101</v>
      </c>
      <c r="C7" s="15" t="s">
        <v>1095</v>
      </c>
      <c r="D7" s="15">
        <v>30</v>
      </c>
      <c r="E7" s="16">
        <v>45870</v>
      </c>
      <c r="F7" s="16">
        <v>45915</v>
      </c>
    </row>
    <row r="8" spans="1:6" x14ac:dyDescent="0.3">
      <c r="A8" s="15" t="s">
        <v>255</v>
      </c>
      <c r="B8" s="15" t="s">
        <v>1102</v>
      </c>
      <c r="C8" s="15" t="s">
        <v>1098</v>
      </c>
      <c r="D8" s="15">
        <v>10</v>
      </c>
      <c r="E8" s="16">
        <v>45870</v>
      </c>
      <c r="F8" s="16">
        <v>46053</v>
      </c>
    </row>
    <row r="9" spans="1:6" x14ac:dyDescent="0.3">
      <c r="A9" s="15" t="s">
        <v>518</v>
      </c>
      <c r="B9" s="15" t="s">
        <v>1103</v>
      </c>
      <c r="C9" s="15" t="s">
        <v>1095</v>
      </c>
      <c r="D9" s="15">
        <v>100</v>
      </c>
      <c r="E9" s="16">
        <v>45870</v>
      </c>
      <c r="F9" s="16">
        <v>46053</v>
      </c>
    </row>
    <row r="11" spans="1:6" x14ac:dyDescent="0.3">
      <c r="A11" s="20" t="s">
        <v>1104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40"/>
  <sheetViews>
    <sheetView topLeftCell="E1" workbookViewId="0">
      <pane ySplit="1" topLeftCell="A71" activePane="bottomLeft" state="frozen"/>
      <selection pane="bottomLeft" activeCell="C339" sqref="C339"/>
    </sheetView>
  </sheetViews>
  <sheetFormatPr defaultRowHeight="14.4" x14ac:dyDescent="0.3"/>
  <cols>
    <col min="1" max="1" width="18" bestFit="1" customWidth="1"/>
    <col min="2" max="2" width="11.44140625" bestFit="1" customWidth="1"/>
    <col min="3" max="3" width="23.44140625" bestFit="1" customWidth="1"/>
    <col min="4" max="4" width="16" customWidth="1"/>
    <col min="5" max="5" width="16.5546875" bestFit="1" customWidth="1"/>
    <col min="6" max="6" width="13.5546875" bestFit="1" customWidth="1"/>
    <col min="7" max="7" width="23.44140625" bestFit="1" customWidth="1"/>
    <col min="8" max="8" width="13.44140625" bestFit="1" customWidth="1"/>
    <col min="9" max="9" width="27" bestFit="1" customWidth="1"/>
    <col min="10" max="10" width="8.33203125" bestFit="1" customWidth="1"/>
    <col min="11" max="11" width="7" bestFit="1" customWidth="1"/>
    <col min="12" max="12" width="16" customWidth="1"/>
    <col min="13" max="13" width="12.6640625" bestFit="1" customWidth="1"/>
    <col min="14" max="14" width="10.6640625" bestFit="1" customWidth="1"/>
    <col min="15" max="15" width="9.5546875" bestFit="1" customWidth="1"/>
    <col min="16" max="16" width="13.33203125" bestFit="1" customWidth="1"/>
    <col min="17" max="17" width="28.33203125" bestFit="1" customWidth="1"/>
  </cols>
  <sheetData>
    <row r="1" spans="1:17" ht="30" customHeight="1" x14ac:dyDescent="0.3">
      <c r="A1" s="14" t="s">
        <v>103</v>
      </c>
      <c r="B1" s="14" t="s">
        <v>104</v>
      </c>
      <c r="C1" s="14" t="s">
        <v>105</v>
      </c>
      <c r="D1" s="14" t="s">
        <v>106</v>
      </c>
      <c r="E1" s="14" t="s">
        <v>107</v>
      </c>
      <c r="F1" s="14" t="s">
        <v>108</v>
      </c>
      <c r="G1" s="14" t="s">
        <v>109</v>
      </c>
      <c r="H1" s="14" t="s">
        <v>110</v>
      </c>
      <c r="I1" s="14" t="s">
        <v>111</v>
      </c>
      <c r="J1" s="14" t="s">
        <v>112</v>
      </c>
      <c r="K1" s="14" t="s">
        <v>113</v>
      </c>
      <c r="L1" s="14" t="s">
        <v>114</v>
      </c>
      <c r="M1" s="14" t="s">
        <v>115</v>
      </c>
      <c r="N1" s="14" t="s">
        <v>116</v>
      </c>
      <c r="O1" s="14" t="s">
        <v>117</v>
      </c>
      <c r="P1" s="14" t="s">
        <v>118</v>
      </c>
      <c r="Q1" s="14" t="s">
        <v>119</v>
      </c>
    </row>
    <row r="2" spans="1:17" x14ac:dyDescent="0.3">
      <c r="A2" s="15" t="s">
        <v>120</v>
      </c>
      <c r="B2" s="16">
        <v>46046</v>
      </c>
      <c r="C2" s="15" t="s">
        <v>121</v>
      </c>
      <c r="D2" s="15" t="s">
        <v>122</v>
      </c>
      <c r="E2" s="16">
        <v>45955</v>
      </c>
      <c r="F2" s="15" t="s">
        <v>123</v>
      </c>
      <c r="G2" s="15" t="s">
        <v>124</v>
      </c>
      <c r="H2" s="15" t="s">
        <v>125</v>
      </c>
      <c r="I2" s="15" t="s">
        <v>126</v>
      </c>
      <c r="J2" s="17">
        <v>2</v>
      </c>
      <c r="K2" s="15" t="s">
        <v>127</v>
      </c>
      <c r="L2" s="15" t="s">
        <v>128</v>
      </c>
      <c r="M2" s="15" t="s">
        <v>129</v>
      </c>
      <c r="N2" s="15" t="s">
        <v>130</v>
      </c>
      <c r="O2" s="17">
        <v>4</v>
      </c>
      <c r="P2" s="17">
        <v>36</v>
      </c>
      <c r="Q2" s="15" t="s">
        <v>131</v>
      </c>
    </row>
    <row r="3" spans="1:17" x14ac:dyDescent="0.3">
      <c r="A3" s="15" t="s">
        <v>132</v>
      </c>
      <c r="B3" s="16">
        <v>46028</v>
      </c>
      <c r="C3" s="15" t="s">
        <v>133</v>
      </c>
      <c r="D3" s="15" t="s">
        <v>134</v>
      </c>
      <c r="E3" s="16">
        <v>45994</v>
      </c>
      <c r="F3" s="15" t="s">
        <v>135</v>
      </c>
      <c r="G3" s="15" t="s">
        <v>136</v>
      </c>
      <c r="H3" s="15" t="s">
        <v>137</v>
      </c>
      <c r="I3" s="15" t="s">
        <v>138</v>
      </c>
      <c r="J3" s="17">
        <v>1</v>
      </c>
      <c r="K3" s="15" t="s">
        <v>139</v>
      </c>
      <c r="L3" s="15" t="s">
        <v>140</v>
      </c>
      <c r="M3" s="15"/>
      <c r="N3" s="15" t="s">
        <v>130</v>
      </c>
      <c r="O3" s="17">
        <v>4</v>
      </c>
      <c r="P3" s="17">
        <v>20</v>
      </c>
      <c r="Q3" s="15" t="s">
        <v>141</v>
      </c>
    </row>
    <row r="4" spans="1:17" x14ac:dyDescent="0.3">
      <c r="A4" s="15" t="s">
        <v>142</v>
      </c>
      <c r="B4" s="16">
        <v>46047</v>
      </c>
      <c r="C4" s="15" t="s">
        <v>143</v>
      </c>
      <c r="D4" s="15" t="s">
        <v>144</v>
      </c>
      <c r="E4" s="16">
        <v>46030</v>
      </c>
      <c r="F4" s="15" t="s">
        <v>145</v>
      </c>
      <c r="G4" s="15" t="s">
        <v>146</v>
      </c>
      <c r="H4" s="15" t="s">
        <v>147</v>
      </c>
      <c r="I4" s="15" t="s">
        <v>148</v>
      </c>
      <c r="J4" s="17">
        <v>1</v>
      </c>
      <c r="K4" s="15" t="s">
        <v>149</v>
      </c>
      <c r="L4" s="15" t="s">
        <v>128</v>
      </c>
      <c r="M4" s="15"/>
      <c r="N4" s="15" t="s">
        <v>130</v>
      </c>
      <c r="O4" s="17">
        <v>2</v>
      </c>
      <c r="P4" s="17">
        <v>57</v>
      </c>
      <c r="Q4" s="15" t="s">
        <v>150</v>
      </c>
    </row>
    <row r="5" spans="1:17" x14ac:dyDescent="0.3">
      <c r="A5" s="15" t="s">
        <v>151</v>
      </c>
      <c r="B5" s="16">
        <v>46049</v>
      </c>
      <c r="C5" s="15" t="s">
        <v>152</v>
      </c>
      <c r="D5" s="15" t="s">
        <v>153</v>
      </c>
      <c r="E5" s="16">
        <v>45916</v>
      </c>
      <c r="F5" s="15" t="s">
        <v>154</v>
      </c>
      <c r="G5" s="15" t="s">
        <v>155</v>
      </c>
      <c r="H5" s="15" t="s">
        <v>156</v>
      </c>
      <c r="I5" s="15" t="s">
        <v>157</v>
      </c>
      <c r="J5" s="17">
        <v>1</v>
      </c>
      <c r="K5" s="15" t="s">
        <v>158</v>
      </c>
      <c r="L5" s="15" t="s">
        <v>159</v>
      </c>
      <c r="M5" s="15"/>
      <c r="N5" s="15"/>
      <c r="O5" s="15"/>
      <c r="P5" s="17">
        <v>40</v>
      </c>
      <c r="Q5" s="15"/>
    </row>
    <row r="6" spans="1:17" x14ac:dyDescent="0.3">
      <c r="A6" s="15" t="s">
        <v>160</v>
      </c>
      <c r="B6" s="16">
        <v>45890</v>
      </c>
      <c r="C6" s="15" t="s">
        <v>161</v>
      </c>
      <c r="D6" s="15" t="s">
        <v>162</v>
      </c>
      <c r="E6" s="16">
        <v>45743</v>
      </c>
      <c r="F6" s="15" t="s">
        <v>123</v>
      </c>
      <c r="G6" s="15" t="s">
        <v>163</v>
      </c>
      <c r="H6" s="15" t="s">
        <v>164</v>
      </c>
      <c r="I6" s="15" t="s">
        <v>165</v>
      </c>
      <c r="J6" s="17">
        <v>1</v>
      </c>
      <c r="K6" s="15" t="s">
        <v>166</v>
      </c>
      <c r="L6" s="15" t="s">
        <v>159</v>
      </c>
      <c r="M6" s="15"/>
      <c r="N6" s="15" t="s">
        <v>130</v>
      </c>
      <c r="O6" s="17">
        <v>5</v>
      </c>
      <c r="P6" s="17">
        <v>34</v>
      </c>
      <c r="Q6" s="15" t="s">
        <v>141</v>
      </c>
    </row>
    <row r="7" spans="1:17" x14ac:dyDescent="0.3">
      <c r="A7" s="15" t="s">
        <v>167</v>
      </c>
      <c r="B7" s="16">
        <v>45964</v>
      </c>
      <c r="C7" s="15" t="s">
        <v>168</v>
      </c>
      <c r="D7" s="15" t="s">
        <v>169</v>
      </c>
      <c r="E7" s="16">
        <v>45963</v>
      </c>
      <c r="F7" s="15" t="s">
        <v>170</v>
      </c>
      <c r="G7" s="15" t="s">
        <v>171</v>
      </c>
      <c r="H7" s="15" t="s">
        <v>147</v>
      </c>
      <c r="I7" s="15" t="s">
        <v>172</v>
      </c>
      <c r="J7" s="17">
        <v>1</v>
      </c>
      <c r="K7" s="15" t="s">
        <v>173</v>
      </c>
      <c r="L7" s="15" t="s">
        <v>128</v>
      </c>
      <c r="M7" s="15"/>
      <c r="N7" s="15" t="s">
        <v>130</v>
      </c>
      <c r="O7" s="17">
        <v>3</v>
      </c>
      <c r="P7" s="17">
        <v>36</v>
      </c>
      <c r="Q7" s="15"/>
    </row>
    <row r="8" spans="1:17" x14ac:dyDescent="0.3">
      <c r="A8" s="15" t="s">
        <v>174</v>
      </c>
      <c r="B8" s="16">
        <v>45980</v>
      </c>
      <c r="C8" s="15" t="s">
        <v>175</v>
      </c>
      <c r="D8" s="15" t="s">
        <v>176</v>
      </c>
      <c r="E8" s="16">
        <v>45959</v>
      </c>
      <c r="F8" s="15" t="s">
        <v>177</v>
      </c>
      <c r="G8" s="15" t="s">
        <v>178</v>
      </c>
      <c r="H8" s="15" t="s">
        <v>179</v>
      </c>
      <c r="I8" s="15" t="s">
        <v>180</v>
      </c>
      <c r="J8" s="17">
        <v>2</v>
      </c>
      <c r="K8" s="15" t="s">
        <v>181</v>
      </c>
      <c r="L8" s="15" t="s">
        <v>159</v>
      </c>
      <c r="M8" s="15" t="s">
        <v>182</v>
      </c>
      <c r="N8" s="15" t="s">
        <v>130</v>
      </c>
      <c r="O8" s="17">
        <v>4</v>
      </c>
      <c r="P8" s="17">
        <v>19</v>
      </c>
      <c r="Q8" s="15"/>
    </row>
    <row r="9" spans="1:17" x14ac:dyDescent="0.3">
      <c r="A9" s="15" t="s">
        <v>183</v>
      </c>
      <c r="B9" s="16">
        <v>45933</v>
      </c>
      <c r="C9" s="15" t="s">
        <v>184</v>
      </c>
      <c r="D9" s="15" t="s">
        <v>185</v>
      </c>
      <c r="E9" s="16">
        <v>45909</v>
      </c>
      <c r="F9" s="15" t="s">
        <v>135</v>
      </c>
      <c r="G9" s="15" t="s">
        <v>171</v>
      </c>
      <c r="H9" s="15" t="s">
        <v>147</v>
      </c>
      <c r="I9" s="15" t="s">
        <v>186</v>
      </c>
      <c r="J9" s="17">
        <v>1</v>
      </c>
      <c r="K9" s="15" t="s">
        <v>187</v>
      </c>
      <c r="L9" s="15" t="s">
        <v>140</v>
      </c>
      <c r="M9" s="15" t="s">
        <v>188</v>
      </c>
      <c r="N9" s="15" t="s">
        <v>130</v>
      </c>
      <c r="O9" s="17">
        <v>4</v>
      </c>
      <c r="P9" s="17">
        <v>27</v>
      </c>
      <c r="Q9" s="15"/>
    </row>
    <row r="10" spans="1:17" x14ac:dyDescent="0.3">
      <c r="A10" s="15" t="s">
        <v>189</v>
      </c>
      <c r="B10" s="16">
        <v>45955</v>
      </c>
      <c r="C10" s="15" t="s">
        <v>190</v>
      </c>
      <c r="D10" s="15" t="s">
        <v>191</v>
      </c>
      <c r="E10" s="16">
        <v>45877</v>
      </c>
      <c r="F10" s="15" t="s">
        <v>145</v>
      </c>
      <c r="G10" s="15" t="s">
        <v>192</v>
      </c>
      <c r="H10" s="15" t="s">
        <v>137</v>
      </c>
      <c r="I10" s="15" t="s">
        <v>193</v>
      </c>
      <c r="J10" s="17">
        <v>2</v>
      </c>
      <c r="K10" s="15" t="s">
        <v>149</v>
      </c>
      <c r="L10" s="15" t="s">
        <v>128</v>
      </c>
      <c r="M10" s="15"/>
      <c r="N10" s="15" t="s">
        <v>130</v>
      </c>
      <c r="O10" s="17">
        <v>2</v>
      </c>
      <c r="P10" s="17">
        <v>63</v>
      </c>
      <c r="Q10" s="15" t="s">
        <v>194</v>
      </c>
    </row>
    <row r="11" spans="1:17" x14ac:dyDescent="0.3">
      <c r="A11" s="15" t="s">
        <v>195</v>
      </c>
      <c r="B11" s="16">
        <v>45913</v>
      </c>
      <c r="C11" s="15" t="s">
        <v>196</v>
      </c>
      <c r="D11" s="15" t="s">
        <v>197</v>
      </c>
      <c r="E11" s="16">
        <v>45913</v>
      </c>
      <c r="F11" s="15" t="s">
        <v>198</v>
      </c>
      <c r="G11" s="15" t="s">
        <v>199</v>
      </c>
      <c r="H11" s="15" t="s">
        <v>179</v>
      </c>
      <c r="I11" s="15" t="s">
        <v>200</v>
      </c>
      <c r="J11" s="17">
        <v>1</v>
      </c>
      <c r="K11" s="15" t="s">
        <v>201</v>
      </c>
      <c r="L11" s="15" t="s">
        <v>159</v>
      </c>
      <c r="M11" s="15"/>
      <c r="N11" s="15" t="s">
        <v>130</v>
      </c>
      <c r="O11" s="17">
        <v>4</v>
      </c>
      <c r="P11" s="17">
        <v>30</v>
      </c>
      <c r="Q11" s="15" t="s">
        <v>202</v>
      </c>
    </row>
    <row r="12" spans="1:17" x14ac:dyDescent="0.3">
      <c r="A12" s="15" t="s">
        <v>203</v>
      </c>
      <c r="B12" s="16">
        <v>45959</v>
      </c>
      <c r="C12" s="15" t="s">
        <v>204</v>
      </c>
      <c r="D12" s="15" t="s">
        <v>205</v>
      </c>
      <c r="E12" s="16">
        <v>45957</v>
      </c>
      <c r="F12" s="15" t="s">
        <v>206</v>
      </c>
      <c r="G12" s="15" t="s">
        <v>171</v>
      </c>
      <c r="H12" s="15" t="s">
        <v>147</v>
      </c>
      <c r="I12" s="15" t="s">
        <v>207</v>
      </c>
      <c r="J12" s="17">
        <v>1</v>
      </c>
      <c r="K12" s="15" t="s">
        <v>208</v>
      </c>
      <c r="L12" s="15" t="s">
        <v>159</v>
      </c>
      <c r="M12" s="15"/>
      <c r="N12" s="15" t="s">
        <v>130</v>
      </c>
      <c r="O12" s="17">
        <v>5</v>
      </c>
      <c r="P12" s="17">
        <v>29</v>
      </c>
      <c r="Q12" s="15"/>
    </row>
    <row r="13" spans="1:17" x14ac:dyDescent="0.3">
      <c r="A13" s="15" t="s">
        <v>209</v>
      </c>
      <c r="B13" s="16">
        <v>45910</v>
      </c>
      <c r="C13" s="15" t="s">
        <v>210</v>
      </c>
      <c r="D13" s="15" t="s">
        <v>211</v>
      </c>
      <c r="E13" s="16">
        <v>45880</v>
      </c>
      <c r="F13" s="15" t="s">
        <v>212</v>
      </c>
      <c r="G13" s="15" t="s">
        <v>136</v>
      </c>
      <c r="H13" s="15" t="s">
        <v>137</v>
      </c>
      <c r="I13" s="15" t="s">
        <v>138</v>
      </c>
      <c r="J13" s="17">
        <v>1</v>
      </c>
      <c r="K13" s="15" t="s">
        <v>213</v>
      </c>
      <c r="L13" s="15" t="s">
        <v>159</v>
      </c>
      <c r="M13" s="15"/>
      <c r="N13" s="15" t="s">
        <v>130</v>
      </c>
      <c r="O13" s="17">
        <v>3</v>
      </c>
      <c r="P13" s="17">
        <v>28</v>
      </c>
      <c r="Q13" s="15" t="s">
        <v>150</v>
      </c>
    </row>
    <row r="14" spans="1:17" x14ac:dyDescent="0.3">
      <c r="A14" s="15" t="s">
        <v>214</v>
      </c>
      <c r="B14" s="16">
        <v>46048</v>
      </c>
      <c r="C14" s="15" t="s">
        <v>215</v>
      </c>
      <c r="D14" s="15" t="s">
        <v>205</v>
      </c>
      <c r="E14" s="16">
        <v>45957</v>
      </c>
      <c r="F14" s="15" t="s">
        <v>135</v>
      </c>
      <c r="G14" s="15" t="s">
        <v>216</v>
      </c>
      <c r="H14" s="15" t="s">
        <v>125</v>
      </c>
      <c r="I14" s="15" t="s">
        <v>217</v>
      </c>
      <c r="J14" s="17">
        <v>3</v>
      </c>
      <c r="K14" s="15" t="s">
        <v>218</v>
      </c>
      <c r="L14" s="15" t="s">
        <v>128</v>
      </c>
      <c r="M14" s="15"/>
      <c r="N14" s="15" t="s">
        <v>130</v>
      </c>
      <c r="O14" s="17">
        <v>4</v>
      </c>
      <c r="P14" s="17">
        <v>34</v>
      </c>
      <c r="Q14" s="15" t="s">
        <v>202</v>
      </c>
    </row>
    <row r="15" spans="1:17" x14ac:dyDescent="0.3">
      <c r="A15" s="15" t="s">
        <v>219</v>
      </c>
      <c r="B15" s="16">
        <v>45969</v>
      </c>
      <c r="C15" s="15" t="s">
        <v>220</v>
      </c>
      <c r="D15" s="15" t="s">
        <v>221</v>
      </c>
      <c r="E15" s="16">
        <v>45904</v>
      </c>
      <c r="F15" s="15" t="s">
        <v>135</v>
      </c>
      <c r="G15" s="15" t="s">
        <v>146</v>
      </c>
      <c r="H15" s="15" t="s">
        <v>147</v>
      </c>
      <c r="I15" s="15" t="s">
        <v>222</v>
      </c>
      <c r="J15" s="17">
        <v>1</v>
      </c>
      <c r="K15" s="15" t="s">
        <v>223</v>
      </c>
      <c r="L15" s="15" t="s">
        <v>128</v>
      </c>
      <c r="M15" s="15" t="s">
        <v>182</v>
      </c>
      <c r="N15" s="15" t="s">
        <v>130</v>
      </c>
      <c r="O15" s="17">
        <v>3</v>
      </c>
      <c r="P15" s="17">
        <v>30</v>
      </c>
      <c r="Q15" s="15" t="s">
        <v>224</v>
      </c>
    </row>
    <row r="16" spans="1:17" x14ac:dyDescent="0.3">
      <c r="A16" s="15" t="s">
        <v>225</v>
      </c>
      <c r="B16" s="16">
        <v>46027</v>
      </c>
      <c r="C16" s="15" t="s">
        <v>226</v>
      </c>
      <c r="D16" s="15" t="s">
        <v>227</v>
      </c>
      <c r="E16" s="16">
        <v>45967</v>
      </c>
      <c r="F16" s="15" t="s">
        <v>228</v>
      </c>
      <c r="G16" s="15" t="s">
        <v>199</v>
      </c>
      <c r="H16" s="15" t="s">
        <v>179</v>
      </c>
      <c r="I16" s="15" t="s">
        <v>200</v>
      </c>
      <c r="J16" s="17">
        <v>2</v>
      </c>
      <c r="K16" s="15" t="s">
        <v>223</v>
      </c>
      <c r="L16" s="15" t="s">
        <v>159</v>
      </c>
      <c r="M16" s="15" t="s">
        <v>129</v>
      </c>
      <c r="N16" s="15" t="s">
        <v>130</v>
      </c>
      <c r="O16" s="17">
        <v>4</v>
      </c>
      <c r="P16" s="17">
        <v>40</v>
      </c>
      <c r="Q16" s="15"/>
    </row>
    <row r="17" spans="1:17" x14ac:dyDescent="0.3">
      <c r="A17" s="15" t="s">
        <v>229</v>
      </c>
      <c r="B17" s="16">
        <v>46020</v>
      </c>
      <c r="C17" s="15" t="s">
        <v>230</v>
      </c>
      <c r="D17" s="15" t="s">
        <v>231</v>
      </c>
      <c r="E17" s="16">
        <v>45969</v>
      </c>
      <c r="F17" s="15" t="s">
        <v>177</v>
      </c>
      <c r="G17" s="15" t="s">
        <v>232</v>
      </c>
      <c r="H17" s="15" t="s">
        <v>233</v>
      </c>
      <c r="I17" s="15" t="s">
        <v>234</v>
      </c>
      <c r="J17" s="17">
        <v>1</v>
      </c>
      <c r="K17" s="15" t="s">
        <v>181</v>
      </c>
      <c r="L17" s="15" t="s">
        <v>128</v>
      </c>
      <c r="M17" s="15" t="s">
        <v>129</v>
      </c>
      <c r="N17" s="15" t="s">
        <v>235</v>
      </c>
      <c r="O17" s="15"/>
      <c r="P17" s="17">
        <v>26</v>
      </c>
      <c r="Q17" s="15"/>
    </row>
    <row r="18" spans="1:17" x14ac:dyDescent="0.3">
      <c r="A18" s="15" t="s">
        <v>236</v>
      </c>
      <c r="B18" s="16">
        <v>45879</v>
      </c>
      <c r="C18" s="15" t="s">
        <v>237</v>
      </c>
      <c r="D18" s="15" t="s">
        <v>238</v>
      </c>
      <c r="E18" s="16">
        <v>45878</v>
      </c>
      <c r="F18" s="15" t="s">
        <v>170</v>
      </c>
      <c r="G18" s="15" t="s">
        <v>124</v>
      </c>
      <c r="H18" s="15" t="s">
        <v>125</v>
      </c>
      <c r="I18" s="15" t="s">
        <v>239</v>
      </c>
      <c r="J18" s="17">
        <v>1</v>
      </c>
      <c r="K18" s="15" t="s">
        <v>173</v>
      </c>
      <c r="L18" s="15" t="s">
        <v>128</v>
      </c>
      <c r="M18" s="15" t="s">
        <v>240</v>
      </c>
      <c r="N18" s="15" t="s">
        <v>130</v>
      </c>
      <c r="O18" s="17">
        <v>3</v>
      </c>
      <c r="P18" s="17">
        <v>50</v>
      </c>
      <c r="Q18" s="15" t="s">
        <v>241</v>
      </c>
    </row>
    <row r="19" spans="1:17" x14ac:dyDescent="0.3">
      <c r="A19" s="15" t="s">
        <v>242</v>
      </c>
      <c r="B19" s="16">
        <v>46016</v>
      </c>
      <c r="C19" s="15" t="s">
        <v>243</v>
      </c>
      <c r="D19" s="15" t="s">
        <v>244</v>
      </c>
      <c r="E19" s="16">
        <v>45814</v>
      </c>
      <c r="F19" s="15" t="s">
        <v>135</v>
      </c>
      <c r="G19" s="15" t="s">
        <v>245</v>
      </c>
      <c r="H19" s="15" t="s">
        <v>233</v>
      </c>
      <c r="I19" s="15" t="s">
        <v>246</v>
      </c>
      <c r="J19" s="17">
        <v>1</v>
      </c>
      <c r="K19" s="15" t="s">
        <v>187</v>
      </c>
      <c r="L19" s="15" t="s">
        <v>247</v>
      </c>
      <c r="M19" s="15"/>
      <c r="N19" s="15" t="s">
        <v>130</v>
      </c>
      <c r="O19" s="17">
        <v>4</v>
      </c>
      <c r="P19" s="17">
        <v>18</v>
      </c>
      <c r="Q19" s="15"/>
    </row>
    <row r="20" spans="1:17" x14ac:dyDescent="0.3">
      <c r="A20" s="15" t="s">
        <v>248</v>
      </c>
      <c r="B20" s="16">
        <v>45876</v>
      </c>
      <c r="C20" s="15" t="s">
        <v>249</v>
      </c>
      <c r="D20" s="15" t="s">
        <v>250</v>
      </c>
      <c r="E20" s="16">
        <v>45874</v>
      </c>
      <c r="F20" s="15" t="s">
        <v>198</v>
      </c>
      <c r="G20" s="15" t="s">
        <v>146</v>
      </c>
      <c r="H20" s="15" t="s">
        <v>147</v>
      </c>
      <c r="I20" s="15" t="s">
        <v>186</v>
      </c>
      <c r="J20" s="17">
        <v>1</v>
      </c>
      <c r="K20" s="15" t="s">
        <v>251</v>
      </c>
      <c r="L20" s="15" t="s">
        <v>140</v>
      </c>
      <c r="M20" s="15" t="s">
        <v>240</v>
      </c>
      <c r="N20" s="15" t="s">
        <v>130</v>
      </c>
      <c r="O20" s="17">
        <v>5</v>
      </c>
      <c r="P20" s="17">
        <v>34</v>
      </c>
      <c r="Q20" s="15"/>
    </row>
    <row r="21" spans="1:17" x14ac:dyDescent="0.3">
      <c r="A21" s="15" t="s">
        <v>252</v>
      </c>
      <c r="B21" s="16">
        <v>46021</v>
      </c>
      <c r="C21" s="15" t="s">
        <v>253</v>
      </c>
      <c r="D21" s="15" t="s">
        <v>254</v>
      </c>
      <c r="E21" s="16">
        <v>45885</v>
      </c>
      <c r="F21" s="15" t="s">
        <v>135</v>
      </c>
      <c r="G21" s="15" t="s">
        <v>216</v>
      </c>
      <c r="H21" s="15" t="s">
        <v>125</v>
      </c>
      <c r="I21" s="15" t="s">
        <v>126</v>
      </c>
      <c r="J21" s="17">
        <v>2</v>
      </c>
      <c r="K21" s="15" t="s">
        <v>139</v>
      </c>
      <c r="L21" s="15" t="s">
        <v>247</v>
      </c>
      <c r="M21" s="15" t="s">
        <v>255</v>
      </c>
      <c r="N21" s="15" t="s">
        <v>130</v>
      </c>
      <c r="O21" s="17">
        <v>4</v>
      </c>
      <c r="P21" s="17">
        <v>33</v>
      </c>
      <c r="Q21" s="15"/>
    </row>
    <row r="22" spans="1:17" x14ac:dyDescent="0.3">
      <c r="A22" s="15" t="s">
        <v>256</v>
      </c>
      <c r="B22" s="16">
        <v>46051</v>
      </c>
      <c r="C22" s="15" t="s">
        <v>257</v>
      </c>
      <c r="D22" s="15" t="s">
        <v>258</v>
      </c>
      <c r="E22" s="16">
        <v>45947</v>
      </c>
      <c r="F22" s="15" t="s">
        <v>259</v>
      </c>
      <c r="G22" s="15" t="s">
        <v>192</v>
      </c>
      <c r="H22" s="15" t="s">
        <v>137</v>
      </c>
      <c r="I22" s="15" t="s">
        <v>138</v>
      </c>
      <c r="J22" s="17">
        <v>2</v>
      </c>
      <c r="K22" s="15" t="s">
        <v>260</v>
      </c>
      <c r="L22" s="15" t="s">
        <v>159</v>
      </c>
      <c r="M22" s="15"/>
      <c r="N22" s="15"/>
      <c r="O22" s="17">
        <v>5</v>
      </c>
      <c r="P22" s="17">
        <v>39</v>
      </c>
      <c r="Q22" s="15"/>
    </row>
    <row r="23" spans="1:17" x14ac:dyDescent="0.3">
      <c r="A23" s="15" t="s">
        <v>261</v>
      </c>
      <c r="B23" s="16">
        <v>45952</v>
      </c>
      <c r="C23" s="15" t="s">
        <v>262</v>
      </c>
      <c r="D23" s="15" t="s">
        <v>263</v>
      </c>
      <c r="E23" s="16">
        <v>45873</v>
      </c>
      <c r="F23" s="15" t="s">
        <v>135</v>
      </c>
      <c r="G23" s="15" t="s">
        <v>146</v>
      </c>
      <c r="H23" s="15" t="s">
        <v>147</v>
      </c>
      <c r="I23" s="15" t="s">
        <v>264</v>
      </c>
      <c r="J23" s="17">
        <v>2</v>
      </c>
      <c r="K23" s="15" t="s">
        <v>265</v>
      </c>
      <c r="L23" s="15" t="s">
        <v>159</v>
      </c>
      <c r="M23" s="15"/>
      <c r="N23" s="15" t="s">
        <v>130</v>
      </c>
      <c r="O23" s="17">
        <v>4</v>
      </c>
      <c r="P23" s="17">
        <v>31</v>
      </c>
      <c r="Q23" s="15"/>
    </row>
    <row r="24" spans="1:17" x14ac:dyDescent="0.3">
      <c r="A24" s="15" t="s">
        <v>266</v>
      </c>
      <c r="B24" s="16">
        <v>45968</v>
      </c>
      <c r="C24" s="15" t="s">
        <v>267</v>
      </c>
      <c r="D24" s="15" t="s">
        <v>268</v>
      </c>
      <c r="E24" s="16">
        <v>45961</v>
      </c>
      <c r="F24" s="15" t="s">
        <v>170</v>
      </c>
      <c r="G24" s="15" t="s">
        <v>192</v>
      </c>
      <c r="H24" s="15" t="s">
        <v>137</v>
      </c>
      <c r="I24" s="15" t="s">
        <v>269</v>
      </c>
      <c r="J24" s="17">
        <v>1</v>
      </c>
      <c r="K24" s="15" t="s">
        <v>158</v>
      </c>
      <c r="L24" s="15" t="s">
        <v>140</v>
      </c>
      <c r="M24" s="15" t="s">
        <v>182</v>
      </c>
      <c r="N24" s="15" t="s">
        <v>130</v>
      </c>
      <c r="O24" s="17">
        <v>3</v>
      </c>
      <c r="P24" s="17">
        <v>31</v>
      </c>
      <c r="Q24" s="15"/>
    </row>
    <row r="25" spans="1:17" x14ac:dyDescent="0.3">
      <c r="A25" s="15" t="s">
        <v>270</v>
      </c>
      <c r="B25" s="16">
        <v>45875</v>
      </c>
      <c r="C25" s="15" t="s">
        <v>271</v>
      </c>
      <c r="D25" s="15" t="s">
        <v>272</v>
      </c>
      <c r="E25" s="16">
        <v>45873</v>
      </c>
      <c r="F25" s="15" t="s">
        <v>135</v>
      </c>
      <c r="G25" s="15" t="s">
        <v>216</v>
      </c>
      <c r="H25" s="15" t="s">
        <v>125</v>
      </c>
      <c r="I25" s="15" t="s">
        <v>126</v>
      </c>
      <c r="J25" s="17">
        <v>1</v>
      </c>
      <c r="K25" s="15" t="s">
        <v>139</v>
      </c>
      <c r="L25" s="15" t="s">
        <v>247</v>
      </c>
      <c r="M25" s="15"/>
      <c r="N25" s="15" t="s">
        <v>130</v>
      </c>
      <c r="O25" s="17">
        <v>4</v>
      </c>
      <c r="P25" s="17">
        <v>25</v>
      </c>
      <c r="Q25" s="15"/>
    </row>
    <row r="26" spans="1:17" x14ac:dyDescent="0.3">
      <c r="A26" s="15" t="s">
        <v>273</v>
      </c>
      <c r="B26" s="16">
        <v>45967</v>
      </c>
      <c r="C26" s="15" t="s">
        <v>274</v>
      </c>
      <c r="D26" s="15" t="s">
        <v>275</v>
      </c>
      <c r="E26" s="16">
        <v>45956</v>
      </c>
      <c r="F26" s="15" t="s">
        <v>135</v>
      </c>
      <c r="G26" s="15" t="s">
        <v>232</v>
      </c>
      <c r="H26" s="15" t="s">
        <v>233</v>
      </c>
      <c r="I26" s="15" t="s">
        <v>276</v>
      </c>
      <c r="J26" s="17">
        <v>2</v>
      </c>
      <c r="K26" s="15" t="s">
        <v>277</v>
      </c>
      <c r="L26" s="15" t="s">
        <v>278</v>
      </c>
      <c r="M26" s="15"/>
      <c r="N26" s="15" t="s">
        <v>279</v>
      </c>
      <c r="O26" s="15"/>
      <c r="P26" s="17">
        <v>21</v>
      </c>
      <c r="Q26" s="15" t="s">
        <v>280</v>
      </c>
    </row>
    <row r="27" spans="1:17" x14ac:dyDescent="0.3">
      <c r="A27" s="15" t="s">
        <v>281</v>
      </c>
      <c r="B27" s="16">
        <v>45928</v>
      </c>
      <c r="C27" s="15" t="s">
        <v>282</v>
      </c>
      <c r="D27" s="15" t="s">
        <v>283</v>
      </c>
      <c r="E27" s="16">
        <v>45916</v>
      </c>
      <c r="F27" s="15" t="s">
        <v>177</v>
      </c>
      <c r="G27" s="15" t="s">
        <v>216</v>
      </c>
      <c r="H27" s="15" t="s">
        <v>125</v>
      </c>
      <c r="I27" s="15" t="s">
        <v>126</v>
      </c>
      <c r="J27" s="17">
        <v>2</v>
      </c>
      <c r="K27" s="15" t="s">
        <v>181</v>
      </c>
      <c r="L27" s="15" t="s">
        <v>159</v>
      </c>
      <c r="M27" s="15"/>
      <c r="N27" s="15" t="s">
        <v>279</v>
      </c>
      <c r="O27" s="15"/>
      <c r="P27" s="17">
        <v>40</v>
      </c>
      <c r="Q27" s="15" t="s">
        <v>284</v>
      </c>
    </row>
    <row r="28" spans="1:17" x14ac:dyDescent="0.3">
      <c r="A28" s="15" t="s">
        <v>285</v>
      </c>
      <c r="B28" s="16">
        <v>45918</v>
      </c>
      <c r="C28" s="15" t="s">
        <v>286</v>
      </c>
      <c r="D28" s="15" t="s">
        <v>287</v>
      </c>
      <c r="E28" s="16">
        <v>45918</v>
      </c>
      <c r="F28" s="15" t="s">
        <v>123</v>
      </c>
      <c r="G28" s="15" t="s">
        <v>288</v>
      </c>
      <c r="H28" s="15" t="s">
        <v>156</v>
      </c>
      <c r="I28" s="15" t="s">
        <v>289</v>
      </c>
      <c r="J28" s="17">
        <v>1</v>
      </c>
      <c r="K28" s="15" t="s">
        <v>290</v>
      </c>
      <c r="L28" s="15" t="s">
        <v>247</v>
      </c>
      <c r="M28" s="15"/>
      <c r="N28" s="15" t="s">
        <v>130</v>
      </c>
      <c r="O28" s="17">
        <v>4</v>
      </c>
      <c r="P28" s="17">
        <v>43</v>
      </c>
      <c r="Q28" s="15" t="s">
        <v>291</v>
      </c>
    </row>
    <row r="29" spans="1:17" x14ac:dyDescent="0.3">
      <c r="A29" s="15" t="s">
        <v>292</v>
      </c>
      <c r="B29" s="16">
        <v>45966</v>
      </c>
      <c r="C29" s="15" t="s">
        <v>293</v>
      </c>
      <c r="D29" s="15" t="s">
        <v>185</v>
      </c>
      <c r="E29" s="16">
        <v>45909</v>
      </c>
      <c r="F29" s="15" t="s">
        <v>294</v>
      </c>
      <c r="G29" s="15" t="s">
        <v>216</v>
      </c>
      <c r="H29" s="15" t="s">
        <v>125</v>
      </c>
      <c r="I29" s="15" t="s">
        <v>295</v>
      </c>
      <c r="J29" s="17">
        <v>1</v>
      </c>
      <c r="K29" s="15" t="s">
        <v>213</v>
      </c>
      <c r="L29" s="15" t="s">
        <v>128</v>
      </c>
      <c r="M29" s="15"/>
      <c r="N29" s="15" t="s">
        <v>130</v>
      </c>
      <c r="O29" s="17">
        <v>4</v>
      </c>
      <c r="P29" s="17">
        <v>15</v>
      </c>
      <c r="Q29" s="15"/>
    </row>
    <row r="30" spans="1:17" x14ac:dyDescent="0.3">
      <c r="A30" s="15" t="s">
        <v>296</v>
      </c>
      <c r="B30" s="16">
        <v>45949</v>
      </c>
      <c r="C30" s="15" t="s">
        <v>249</v>
      </c>
      <c r="D30" s="15" t="s">
        <v>250</v>
      </c>
      <c r="E30" s="16">
        <v>45874</v>
      </c>
      <c r="F30" s="15" t="s">
        <v>206</v>
      </c>
      <c r="G30" s="15" t="s">
        <v>178</v>
      </c>
      <c r="H30" s="15" t="s">
        <v>179</v>
      </c>
      <c r="I30" s="15" t="s">
        <v>297</v>
      </c>
      <c r="J30" s="17">
        <v>2</v>
      </c>
      <c r="K30" s="15" t="s">
        <v>298</v>
      </c>
      <c r="L30" s="15" t="s">
        <v>128</v>
      </c>
      <c r="M30" s="15"/>
      <c r="N30" s="15" t="s">
        <v>130</v>
      </c>
      <c r="O30" s="17">
        <v>5</v>
      </c>
      <c r="P30" s="17">
        <v>36</v>
      </c>
      <c r="Q30" s="15" t="s">
        <v>291</v>
      </c>
    </row>
    <row r="31" spans="1:17" x14ac:dyDescent="0.3">
      <c r="A31" s="15" t="s">
        <v>299</v>
      </c>
      <c r="B31" s="16">
        <v>45916</v>
      </c>
      <c r="C31" s="15" t="s">
        <v>300</v>
      </c>
      <c r="D31" s="15" t="s">
        <v>283</v>
      </c>
      <c r="E31" s="16">
        <v>45916</v>
      </c>
      <c r="F31" s="15" t="s">
        <v>177</v>
      </c>
      <c r="G31" s="15" t="s">
        <v>232</v>
      </c>
      <c r="H31" s="15" t="s">
        <v>233</v>
      </c>
      <c r="I31" s="15" t="s">
        <v>301</v>
      </c>
      <c r="J31" s="17">
        <v>3</v>
      </c>
      <c r="K31" s="15" t="s">
        <v>181</v>
      </c>
      <c r="L31" s="15" t="s">
        <v>247</v>
      </c>
      <c r="M31" s="15" t="s">
        <v>240</v>
      </c>
      <c r="N31" s="15" t="s">
        <v>130</v>
      </c>
      <c r="O31" s="17">
        <v>5</v>
      </c>
      <c r="P31" s="17">
        <v>30</v>
      </c>
      <c r="Q31" s="15" t="s">
        <v>302</v>
      </c>
    </row>
    <row r="32" spans="1:17" x14ac:dyDescent="0.3">
      <c r="A32" s="15" t="s">
        <v>303</v>
      </c>
      <c r="B32" s="16">
        <v>45959</v>
      </c>
      <c r="C32" s="15" t="s">
        <v>304</v>
      </c>
      <c r="D32" s="15" t="s">
        <v>305</v>
      </c>
      <c r="E32" s="16">
        <v>45922</v>
      </c>
      <c r="F32" s="15" t="s">
        <v>145</v>
      </c>
      <c r="G32" s="15" t="s">
        <v>288</v>
      </c>
      <c r="H32" s="15" t="s">
        <v>156</v>
      </c>
      <c r="I32" s="15" t="s">
        <v>306</v>
      </c>
      <c r="J32" s="17">
        <v>2</v>
      </c>
      <c r="K32" s="15" t="s">
        <v>307</v>
      </c>
      <c r="L32" s="15" t="s">
        <v>128</v>
      </c>
      <c r="M32" s="15" t="s">
        <v>182</v>
      </c>
      <c r="N32" s="15" t="s">
        <v>130</v>
      </c>
      <c r="O32" s="17">
        <v>4</v>
      </c>
      <c r="P32" s="17">
        <v>36</v>
      </c>
      <c r="Q32" s="15"/>
    </row>
    <row r="33" spans="1:17" x14ac:dyDescent="0.3">
      <c r="A33" s="15" t="s">
        <v>308</v>
      </c>
      <c r="B33" s="16">
        <v>46052</v>
      </c>
      <c r="C33" s="15" t="s">
        <v>309</v>
      </c>
      <c r="D33" s="15" t="s">
        <v>250</v>
      </c>
      <c r="E33" s="16">
        <v>45874</v>
      </c>
      <c r="F33" s="15" t="s">
        <v>123</v>
      </c>
      <c r="G33" s="15" t="s">
        <v>124</v>
      </c>
      <c r="H33" s="15" t="s">
        <v>125</v>
      </c>
      <c r="I33" s="15" t="s">
        <v>295</v>
      </c>
      <c r="J33" s="17">
        <v>1</v>
      </c>
      <c r="K33" s="15" t="s">
        <v>290</v>
      </c>
      <c r="L33" s="15" t="s">
        <v>140</v>
      </c>
      <c r="M33" s="15"/>
      <c r="N33" s="15" t="s">
        <v>130</v>
      </c>
      <c r="O33" s="15"/>
      <c r="P33" s="17">
        <v>26</v>
      </c>
      <c r="Q33" s="15" t="s">
        <v>280</v>
      </c>
    </row>
    <row r="34" spans="1:17" x14ac:dyDescent="0.3">
      <c r="A34" s="15" t="s">
        <v>310</v>
      </c>
      <c r="B34" s="16">
        <v>45958</v>
      </c>
      <c r="C34" s="15" t="s">
        <v>311</v>
      </c>
      <c r="D34" s="15" t="s">
        <v>312</v>
      </c>
      <c r="E34" s="16">
        <v>45957</v>
      </c>
      <c r="F34" s="15" t="s">
        <v>170</v>
      </c>
      <c r="G34" s="15" t="s">
        <v>216</v>
      </c>
      <c r="H34" s="15" t="s">
        <v>125</v>
      </c>
      <c r="I34" s="15" t="s">
        <v>313</v>
      </c>
      <c r="J34" s="17">
        <v>1</v>
      </c>
      <c r="K34" s="15" t="s">
        <v>173</v>
      </c>
      <c r="L34" s="15" t="s">
        <v>128</v>
      </c>
      <c r="M34" s="15" t="s">
        <v>182</v>
      </c>
      <c r="N34" s="15" t="s">
        <v>130</v>
      </c>
      <c r="O34" s="17">
        <v>2</v>
      </c>
      <c r="P34" s="17">
        <v>42</v>
      </c>
      <c r="Q34" s="15" t="s">
        <v>150</v>
      </c>
    </row>
    <row r="35" spans="1:17" x14ac:dyDescent="0.3">
      <c r="A35" s="15" t="s">
        <v>314</v>
      </c>
      <c r="B35" s="16">
        <v>46017</v>
      </c>
      <c r="C35" s="15" t="s">
        <v>315</v>
      </c>
      <c r="D35" s="15" t="s">
        <v>316</v>
      </c>
      <c r="E35" s="16">
        <v>46000</v>
      </c>
      <c r="F35" s="15" t="s">
        <v>123</v>
      </c>
      <c r="G35" s="15" t="s">
        <v>155</v>
      </c>
      <c r="H35" s="15" t="s">
        <v>156</v>
      </c>
      <c r="I35" s="15" t="s">
        <v>317</v>
      </c>
      <c r="J35" s="17">
        <v>2</v>
      </c>
      <c r="K35" s="15" t="s">
        <v>166</v>
      </c>
      <c r="L35" s="15" t="s">
        <v>128</v>
      </c>
      <c r="M35" s="15" t="s">
        <v>240</v>
      </c>
      <c r="N35" s="15" t="s">
        <v>130</v>
      </c>
      <c r="O35" s="17">
        <v>3</v>
      </c>
      <c r="P35" s="17">
        <v>36</v>
      </c>
      <c r="Q35" s="15"/>
    </row>
    <row r="36" spans="1:17" x14ac:dyDescent="0.3">
      <c r="A36" s="15" t="s">
        <v>318</v>
      </c>
      <c r="B36" s="16">
        <v>45953</v>
      </c>
      <c r="C36" s="15" t="s">
        <v>319</v>
      </c>
      <c r="D36" s="15" t="s">
        <v>320</v>
      </c>
      <c r="E36" s="16">
        <v>45953</v>
      </c>
      <c r="F36" s="15" t="s">
        <v>206</v>
      </c>
      <c r="G36" s="15" t="s">
        <v>232</v>
      </c>
      <c r="H36" s="15" t="s">
        <v>233</v>
      </c>
      <c r="I36" s="15" t="s">
        <v>246</v>
      </c>
      <c r="J36" s="17">
        <v>1</v>
      </c>
      <c r="K36" s="15" t="s">
        <v>208</v>
      </c>
      <c r="L36" s="15" t="s">
        <v>128</v>
      </c>
      <c r="M36" s="15" t="s">
        <v>188</v>
      </c>
      <c r="N36" s="15" t="s">
        <v>130</v>
      </c>
      <c r="O36" s="17">
        <v>3</v>
      </c>
      <c r="P36" s="17">
        <v>36</v>
      </c>
      <c r="Q36" s="15"/>
    </row>
    <row r="37" spans="1:17" x14ac:dyDescent="0.3">
      <c r="A37" s="15" t="s">
        <v>321</v>
      </c>
      <c r="B37" s="16">
        <v>45918</v>
      </c>
      <c r="C37" s="15" t="s">
        <v>322</v>
      </c>
      <c r="D37" s="15" t="s">
        <v>153</v>
      </c>
      <c r="E37" s="16">
        <v>45916</v>
      </c>
      <c r="F37" s="15" t="s">
        <v>123</v>
      </c>
      <c r="G37" s="15" t="s">
        <v>136</v>
      </c>
      <c r="H37" s="15" t="s">
        <v>137</v>
      </c>
      <c r="I37" s="15" t="s">
        <v>323</v>
      </c>
      <c r="J37" s="17">
        <v>3</v>
      </c>
      <c r="K37" s="15" t="s">
        <v>166</v>
      </c>
      <c r="L37" s="15" t="s">
        <v>128</v>
      </c>
      <c r="M37" s="15"/>
      <c r="N37" s="15" t="s">
        <v>130</v>
      </c>
      <c r="O37" s="17">
        <v>5</v>
      </c>
      <c r="P37" s="17">
        <v>50</v>
      </c>
      <c r="Q37" s="15" t="s">
        <v>302</v>
      </c>
    </row>
    <row r="38" spans="1:17" x14ac:dyDescent="0.3">
      <c r="A38" s="15" t="s">
        <v>324</v>
      </c>
      <c r="B38" s="16">
        <v>45883</v>
      </c>
      <c r="C38" s="15" t="s">
        <v>325</v>
      </c>
      <c r="D38" s="15" t="s">
        <v>326</v>
      </c>
      <c r="E38" s="16">
        <v>45881</v>
      </c>
      <c r="F38" s="15" t="s">
        <v>135</v>
      </c>
      <c r="G38" s="15" t="s">
        <v>163</v>
      </c>
      <c r="H38" s="15" t="s">
        <v>164</v>
      </c>
      <c r="I38" s="15" t="s">
        <v>327</v>
      </c>
      <c r="J38" s="17">
        <v>2</v>
      </c>
      <c r="K38" s="15" t="s">
        <v>277</v>
      </c>
      <c r="L38" s="15" t="s">
        <v>128</v>
      </c>
      <c r="M38" s="15"/>
      <c r="N38" s="15" t="s">
        <v>279</v>
      </c>
      <c r="O38" s="15"/>
      <c r="P38" s="17">
        <v>34</v>
      </c>
      <c r="Q38" s="15"/>
    </row>
    <row r="39" spans="1:17" x14ac:dyDescent="0.3">
      <c r="A39" s="15" t="s">
        <v>328</v>
      </c>
      <c r="B39" s="16">
        <v>46051</v>
      </c>
      <c r="C39" s="15" t="s">
        <v>329</v>
      </c>
      <c r="D39" s="15" t="s">
        <v>330</v>
      </c>
      <c r="E39" s="16">
        <v>46003</v>
      </c>
      <c r="F39" s="15" t="s">
        <v>198</v>
      </c>
      <c r="G39" s="15" t="s">
        <v>331</v>
      </c>
      <c r="H39" s="15" t="s">
        <v>164</v>
      </c>
      <c r="I39" s="15" t="s">
        <v>332</v>
      </c>
      <c r="J39" s="17">
        <v>2</v>
      </c>
      <c r="K39" s="15" t="s">
        <v>201</v>
      </c>
      <c r="L39" s="15" t="s">
        <v>128</v>
      </c>
      <c r="M39" s="15" t="s">
        <v>240</v>
      </c>
      <c r="N39" s="15" t="s">
        <v>130</v>
      </c>
      <c r="O39" s="17">
        <v>4</v>
      </c>
      <c r="P39" s="17">
        <v>32</v>
      </c>
      <c r="Q39" s="15"/>
    </row>
    <row r="40" spans="1:17" x14ac:dyDescent="0.3">
      <c r="A40" s="15" t="s">
        <v>333</v>
      </c>
      <c r="B40" s="16">
        <v>45965</v>
      </c>
      <c r="C40" s="15" t="s">
        <v>334</v>
      </c>
      <c r="D40" s="15" t="s">
        <v>335</v>
      </c>
      <c r="E40" s="16">
        <v>45964</v>
      </c>
      <c r="F40" s="15" t="s">
        <v>198</v>
      </c>
      <c r="G40" s="15" t="s">
        <v>192</v>
      </c>
      <c r="H40" s="15" t="s">
        <v>137</v>
      </c>
      <c r="I40" s="15" t="s">
        <v>138</v>
      </c>
      <c r="J40" s="17">
        <v>1</v>
      </c>
      <c r="K40" s="15" t="s">
        <v>213</v>
      </c>
      <c r="L40" s="15" t="s">
        <v>140</v>
      </c>
      <c r="M40" s="15" t="s">
        <v>336</v>
      </c>
      <c r="N40" s="15"/>
      <c r="O40" s="17">
        <v>4</v>
      </c>
      <c r="P40" s="17">
        <v>29</v>
      </c>
      <c r="Q40" s="15" t="s">
        <v>302</v>
      </c>
    </row>
    <row r="41" spans="1:17" x14ac:dyDescent="0.3">
      <c r="A41" s="15" t="s">
        <v>337</v>
      </c>
      <c r="B41" s="16">
        <v>46047</v>
      </c>
      <c r="C41" s="15" t="s">
        <v>338</v>
      </c>
      <c r="D41" s="15" t="s">
        <v>335</v>
      </c>
      <c r="E41" s="16">
        <v>45964</v>
      </c>
      <c r="F41" s="15" t="s">
        <v>123</v>
      </c>
      <c r="G41" s="15" t="s">
        <v>339</v>
      </c>
      <c r="H41" s="15" t="s">
        <v>233</v>
      </c>
      <c r="I41" s="15" t="s">
        <v>246</v>
      </c>
      <c r="J41" s="17">
        <v>2</v>
      </c>
      <c r="K41" s="15" t="s">
        <v>290</v>
      </c>
      <c r="L41" s="15" t="s">
        <v>140</v>
      </c>
      <c r="M41" s="15" t="s">
        <v>336</v>
      </c>
      <c r="N41" s="15" t="s">
        <v>130</v>
      </c>
      <c r="O41" s="17">
        <v>4</v>
      </c>
      <c r="P41" s="17">
        <v>36</v>
      </c>
      <c r="Q41" s="15"/>
    </row>
    <row r="42" spans="1:17" x14ac:dyDescent="0.3">
      <c r="A42" s="15" t="s">
        <v>340</v>
      </c>
      <c r="B42" s="16">
        <v>45930</v>
      </c>
      <c r="C42" s="15" t="s">
        <v>341</v>
      </c>
      <c r="D42" s="15" t="s">
        <v>342</v>
      </c>
      <c r="E42" s="16">
        <v>45930</v>
      </c>
      <c r="F42" s="15" t="s">
        <v>198</v>
      </c>
      <c r="G42" s="15" t="s">
        <v>199</v>
      </c>
      <c r="H42" s="15" t="s">
        <v>179</v>
      </c>
      <c r="I42" s="15" t="s">
        <v>297</v>
      </c>
      <c r="J42" s="17">
        <v>1</v>
      </c>
      <c r="K42" s="15" t="s">
        <v>213</v>
      </c>
      <c r="L42" s="15" t="s">
        <v>128</v>
      </c>
      <c r="M42" s="15" t="s">
        <v>188</v>
      </c>
      <c r="N42" s="15" t="s">
        <v>130</v>
      </c>
      <c r="O42" s="17">
        <v>5</v>
      </c>
      <c r="P42" s="17">
        <v>30</v>
      </c>
      <c r="Q42" s="15"/>
    </row>
    <row r="43" spans="1:17" x14ac:dyDescent="0.3">
      <c r="A43" s="15" t="s">
        <v>343</v>
      </c>
      <c r="B43" s="16">
        <v>46003</v>
      </c>
      <c r="C43" s="15" t="s">
        <v>344</v>
      </c>
      <c r="D43" s="15" t="s">
        <v>330</v>
      </c>
      <c r="E43" s="16">
        <v>46003</v>
      </c>
      <c r="F43" s="15" t="s">
        <v>259</v>
      </c>
      <c r="G43" s="15" t="s">
        <v>232</v>
      </c>
      <c r="H43" s="15" t="s">
        <v>233</v>
      </c>
      <c r="I43" s="15" t="s">
        <v>345</v>
      </c>
      <c r="J43" s="17">
        <v>1</v>
      </c>
      <c r="K43" s="15" t="s">
        <v>260</v>
      </c>
      <c r="L43" s="15" t="s">
        <v>128</v>
      </c>
      <c r="M43" s="15"/>
      <c r="N43" s="15" t="s">
        <v>130</v>
      </c>
      <c r="O43" s="17">
        <v>5</v>
      </c>
      <c r="P43" s="17">
        <v>42</v>
      </c>
      <c r="Q43" s="15"/>
    </row>
    <row r="44" spans="1:17" x14ac:dyDescent="0.3">
      <c r="A44" s="15" t="s">
        <v>346</v>
      </c>
      <c r="B44" s="16">
        <v>46002</v>
      </c>
      <c r="C44" s="15" t="s">
        <v>347</v>
      </c>
      <c r="D44" s="15" t="s">
        <v>348</v>
      </c>
      <c r="E44" s="16">
        <v>45897</v>
      </c>
      <c r="F44" s="15" t="s">
        <v>349</v>
      </c>
      <c r="G44" s="15" t="s">
        <v>350</v>
      </c>
      <c r="H44" s="15" t="s">
        <v>351</v>
      </c>
      <c r="I44" s="15" t="s">
        <v>352</v>
      </c>
      <c r="J44" s="17">
        <v>1</v>
      </c>
      <c r="K44" s="15" t="s">
        <v>353</v>
      </c>
      <c r="L44" s="15" t="s">
        <v>159</v>
      </c>
      <c r="M44" s="15"/>
      <c r="N44" s="15" t="s">
        <v>130</v>
      </c>
      <c r="O44" s="15"/>
      <c r="P44" s="17">
        <v>31</v>
      </c>
      <c r="Q44" s="15"/>
    </row>
    <row r="45" spans="1:17" x14ac:dyDescent="0.3">
      <c r="A45" s="15" t="s">
        <v>354</v>
      </c>
      <c r="B45" s="16">
        <v>45913</v>
      </c>
      <c r="C45" s="15" t="s">
        <v>355</v>
      </c>
      <c r="D45" s="15" t="s">
        <v>356</v>
      </c>
      <c r="E45" s="16">
        <v>45911</v>
      </c>
      <c r="F45" s="15" t="s">
        <v>206</v>
      </c>
      <c r="G45" s="15" t="s">
        <v>163</v>
      </c>
      <c r="H45" s="15" t="s">
        <v>164</v>
      </c>
      <c r="I45" s="15" t="s">
        <v>357</v>
      </c>
      <c r="J45" s="17">
        <v>2</v>
      </c>
      <c r="K45" s="15" t="s">
        <v>358</v>
      </c>
      <c r="L45" s="15" t="s">
        <v>140</v>
      </c>
      <c r="M45" s="15"/>
      <c r="N45" s="15" t="s">
        <v>235</v>
      </c>
      <c r="O45" s="15"/>
      <c r="P45" s="17">
        <v>25</v>
      </c>
      <c r="Q45" s="15" t="s">
        <v>359</v>
      </c>
    </row>
    <row r="46" spans="1:17" x14ac:dyDescent="0.3">
      <c r="A46" s="15" t="s">
        <v>360</v>
      </c>
      <c r="B46" s="16">
        <v>45964</v>
      </c>
      <c r="C46" s="15" t="s">
        <v>361</v>
      </c>
      <c r="D46" s="15" t="s">
        <v>362</v>
      </c>
      <c r="E46" s="16">
        <v>45963</v>
      </c>
      <c r="F46" s="15" t="s">
        <v>294</v>
      </c>
      <c r="G46" s="15" t="s">
        <v>245</v>
      </c>
      <c r="H46" s="15" t="s">
        <v>233</v>
      </c>
      <c r="I46" s="15" t="s">
        <v>363</v>
      </c>
      <c r="J46" s="17">
        <v>3</v>
      </c>
      <c r="K46" s="15" t="s">
        <v>201</v>
      </c>
      <c r="L46" s="15" t="s">
        <v>159</v>
      </c>
      <c r="M46" s="15" t="s">
        <v>182</v>
      </c>
      <c r="N46" s="15" t="s">
        <v>130</v>
      </c>
      <c r="O46" s="17">
        <v>4</v>
      </c>
      <c r="P46" s="17">
        <v>27</v>
      </c>
      <c r="Q46" s="15" t="s">
        <v>364</v>
      </c>
    </row>
    <row r="47" spans="1:17" x14ac:dyDescent="0.3">
      <c r="A47" s="15" t="s">
        <v>365</v>
      </c>
      <c r="B47" s="16">
        <v>45950</v>
      </c>
      <c r="C47" s="15" t="s">
        <v>366</v>
      </c>
      <c r="D47" s="15" t="s">
        <v>211</v>
      </c>
      <c r="E47" s="16">
        <v>45880</v>
      </c>
      <c r="F47" s="15" t="s">
        <v>367</v>
      </c>
      <c r="G47" s="15" t="s">
        <v>199</v>
      </c>
      <c r="H47" s="15" t="s">
        <v>179</v>
      </c>
      <c r="I47" s="15" t="s">
        <v>368</v>
      </c>
      <c r="J47" s="17">
        <v>2</v>
      </c>
      <c r="K47" s="15" t="s">
        <v>166</v>
      </c>
      <c r="L47" s="15" t="s">
        <v>159</v>
      </c>
      <c r="M47" s="15"/>
      <c r="N47" s="15" t="s">
        <v>235</v>
      </c>
      <c r="O47" s="15"/>
      <c r="P47" s="17">
        <v>40</v>
      </c>
      <c r="Q47" s="15"/>
    </row>
    <row r="48" spans="1:17" x14ac:dyDescent="0.3">
      <c r="A48" s="15" t="s">
        <v>369</v>
      </c>
      <c r="B48" s="16">
        <v>45979</v>
      </c>
      <c r="C48" s="15" t="s">
        <v>370</v>
      </c>
      <c r="D48" s="15" t="s">
        <v>371</v>
      </c>
      <c r="E48" s="16">
        <v>45871</v>
      </c>
      <c r="F48" s="15" t="s">
        <v>206</v>
      </c>
      <c r="G48" s="15" t="s">
        <v>163</v>
      </c>
      <c r="H48" s="15" t="s">
        <v>164</v>
      </c>
      <c r="I48" s="15" t="s">
        <v>372</v>
      </c>
      <c r="J48" s="17">
        <v>1</v>
      </c>
      <c r="K48" s="15" t="s">
        <v>358</v>
      </c>
      <c r="L48" s="15" t="s">
        <v>128</v>
      </c>
      <c r="M48" s="15" t="s">
        <v>240</v>
      </c>
      <c r="N48" s="15" t="s">
        <v>130</v>
      </c>
      <c r="O48" s="17">
        <v>5</v>
      </c>
      <c r="P48" s="17">
        <v>29</v>
      </c>
      <c r="Q48" s="15" t="s">
        <v>302</v>
      </c>
    </row>
    <row r="49" spans="1:17" x14ac:dyDescent="0.3">
      <c r="A49" s="15" t="s">
        <v>373</v>
      </c>
      <c r="B49" s="16"/>
      <c r="C49" s="15" t="s">
        <v>374</v>
      </c>
      <c r="D49" s="15" t="s">
        <v>191</v>
      </c>
      <c r="E49" s="16">
        <v>45877</v>
      </c>
      <c r="F49" s="15" t="s">
        <v>135</v>
      </c>
      <c r="G49" s="15" t="s">
        <v>350</v>
      </c>
      <c r="H49" s="15" t="s">
        <v>351</v>
      </c>
      <c r="I49" s="15" t="s">
        <v>375</v>
      </c>
      <c r="J49" s="17">
        <v>1</v>
      </c>
      <c r="K49" s="15" t="s">
        <v>265</v>
      </c>
      <c r="L49" s="15" t="s">
        <v>159</v>
      </c>
      <c r="M49" s="15"/>
      <c r="N49" s="15" t="s">
        <v>130</v>
      </c>
      <c r="O49" s="17">
        <v>4</v>
      </c>
      <c r="P49" s="17">
        <v>39</v>
      </c>
      <c r="Q49" s="15" t="s">
        <v>131</v>
      </c>
    </row>
    <row r="50" spans="1:17" x14ac:dyDescent="0.3">
      <c r="A50" s="15" t="s">
        <v>376</v>
      </c>
      <c r="B50" s="16">
        <v>46001</v>
      </c>
      <c r="C50" s="15" t="s">
        <v>377</v>
      </c>
      <c r="D50" s="15" t="s">
        <v>378</v>
      </c>
      <c r="E50" s="16">
        <v>45962</v>
      </c>
      <c r="F50" s="15" t="s">
        <v>177</v>
      </c>
      <c r="G50" s="15" t="s">
        <v>192</v>
      </c>
      <c r="H50" s="15" t="s">
        <v>137</v>
      </c>
      <c r="I50" s="15" t="s">
        <v>138</v>
      </c>
      <c r="J50" s="17">
        <v>1</v>
      </c>
      <c r="K50" s="15" t="s">
        <v>181</v>
      </c>
      <c r="L50" s="15" t="s">
        <v>128</v>
      </c>
      <c r="M50" s="15" t="s">
        <v>129</v>
      </c>
      <c r="N50" s="15" t="s">
        <v>130</v>
      </c>
      <c r="O50" s="17">
        <v>4</v>
      </c>
      <c r="P50" s="17">
        <v>33</v>
      </c>
      <c r="Q50" s="15"/>
    </row>
    <row r="51" spans="1:17" x14ac:dyDescent="0.3">
      <c r="A51" s="15" t="s">
        <v>379</v>
      </c>
      <c r="B51" s="16">
        <v>46025</v>
      </c>
      <c r="C51" s="15" t="s">
        <v>380</v>
      </c>
      <c r="D51" s="15" t="s">
        <v>381</v>
      </c>
      <c r="E51" s="16">
        <v>45956</v>
      </c>
      <c r="F51" s="15" t="s">
        <v>123</v>
      </c>
      <c r="G51" s="15" t="s">
        <v>124</v>
      </c>
      <c r="H51" s="15" t="s">
        <v>125</v>
      </c>
      <c r="I51" s="15" t="s">
        <v>382</v>
      </c>
      <c r="J51" s="17">
        <v>1</v>
      </c>
      <c r="K51" s="15" t="s">
        <v>166</v>
      </c>
      <c r="L51" s="15" t="s">
        <v>140</v>
      </c>
      <c r="M51" s="15" t="s">
        <v>255</v>
      </c>
      <c r="N51" s="15" t="s">
        <v>130</v>
      </c>
      <c r="O51" s="17">
        <v>4</v>
      </c>
      <c r="P51" s="17">
        <v>40</v>
      </c>
      <c r="Q51" s="15"/>
    </row>
    <row r="52" spans="1:17" x14ac:dyDescent="0.3">
      <c r="A52" s="15" t="s">
        <v>383</v>
      </c>
      <c r="B52" s="16">
        <v>45950</v>
      </c>
      <c r="C52" s="15" t="s">
        <v>384</v>
      </c>
      <c r="D52" s="15" t="s">
        <v>385</v>
      </c>
      <c r="E52" s="16">
        <v>45948</v>
      </c>
      <c r="F52" s="15" t="s">
        <v>198</v>
      </c>
      <c r="G52" s="15" t="s">
        <v>192</v>
      </c>
      <c r="H52" s="15" t="s">
        <v>137</v>
      </c>
      <c r="I52" s="15" t="s">
        <v>138</v>
      </c>
      <c r="J52" s="17">
        <v>2</v>
      </c>
      <c r="K52" s="15" t="s">
        <v>201</v>
      </c>
      <c r="L52" s="15" t="s">
        <v>128</v>
      </c>
      <c r="M52" s="15"/>
      <c r="N52" s="15" t="s">
        <v>130</v>
      </c>
      <c r="O52" s="17">
        <v>5</v>
      </c>
      <c r="P52" s="17">
        <v>36</v>
      </c>
      <c r="Q52" s="15"/>
    </row>
    <row r="53" spans="1:17" x14ac:dyDescent="0.3">
      <c r="A53" s="15" t="s">
        <v>386</v>
      </c>
      <c r="B53" s="16">
        <v>45957</v>
      </c>
      <c r="C53" s="15" t="s">
        <v>387</v>
      </c>
      <c r="D53" s="15" t="s">
        <v>388</v>
      </c>
      <c r="E53" s="16">
        <v>45957</v>
      </c>
      <c r="F53" s="15" t="s">
        <v>259</v>
      </c>
      <c r="G53" s="15" t="s">
        <v>288</v>
      </c>
      <c r="H53" s="15" t="s">
        <v>156</v>
      </c>
      <c r="I53" s="15" t="s">
        <v>389</v>
      </c>
      <c r="J53" s="17">
        <v>3</v>
      </c>
      <c r="K53" s="15" t="s">
        <v>260</v>
      </c>
      <c r="L53" s="15" t="s">
        <v>247</v>
      </c>
      <c r="M53" s="15" t="s">
        <v>182</v>
      </c>
      <c r="N53" s="15" t="s">
        <v>130</v>
      </c>
      <c r="O53" s="17">
        <v>5</v>
      </c>
      <c r="P53" s="17">
        <v>28</v>
      </c>
      <c r="Q53" s="15"/>
    </row>
    <row r="54" spans="1:17" x14ac:dyDescent="0.3">
      <c r="A54" s="15" t="s">
        <v>390</v>
      </c>
      <c r="B54" s="16">
        <v>46029</v>
      </c>
      <c r="C54" s="15" t="s">
        <v>391</v>
      </c>
      <c r="D54" s="15" t="s">
        <v>392</v>
      </c>
      <c r="E54" s="16">
        <v>45947</v>
      </c>
      <c r="F54" s="15" t="s">
        <v>123</v>
      </c>
      <c r="G54" s="15" t="s">
        <v>163</v>
      </c>
      <c r="H54" s="15" t="s">
        <v>164</v>
      </c>
      <c r="I54" s="15" t="s">
        <v>393</v>
      </c>
      <c r="J54" s="17">
        <v>2</v>
      </c>
      <c r="K54" s="15" t="s">
        <v>127</v>
      </c>
      <c r="L54" s="15" t="s">
        <v>128</v>
      </c>
      <c r="M54" s="15" t="s">
        <v>240</v>
      </c>
      <c r="N54" s="15" t="s">
        <v>235</v>
      </c>
      <c r="O54" s="15"/>
      <c r="P54" s="17">
        <v>34</v>
      </c>
      <c r="Q54" s="15"/>
    </row>
    <row r="55" spans="1:17" x14ac:dyDescent="0.3">
      <c r="A55" s="15" t="s">
        <v>394</v>
      </c>
      <c r="B55" s="16">
        <v>45889</v>
      </c>
      <c r="C55" s="15" t="s">
        <v>395</v>
      </c>
      <c r="D55" s="15" t="s">
        <v>396</v>
      </c>
      <c r="E55" s="16">
        <v>45888</v>
      </c>
      <c r="F55" s="15" t="s">
        <v>397</v>
      </c>
      <c r="G55" s="15" t="s">
        <v>178</v>
      </c>
      <c r="H55" s="15" t="s">
        <v>179</v>
      </c>
      <c r="I55" s="15" t="s">
        <v>398</v>
      </c>
      <c r="J55" s="17">
        <v>2</v>
      </c>
      <c r="K55" s="15" t="s">
        <v>277</v>
      </c>
      <c r="L55" s="15" t="s">
        <v>247</v>
      </c>
      <c r="M55" s="15"/>
      <c r="N55" s="15" t="s">
        <v>235</v>
      </c>
      <c r="O55" s="15"/>
      <c r="P55" s="17">
        <v>31</v>
      </c>
      <c r="Q55" s="15"/>
    </row>
    <row r="56" spans="1:17" x14ac:dyDescent="0.3">
      <c r="A56" s="15" t="s">
        <v>399</v>
      </c>
      <c r="B56" s="16">
        <v>46040</v>
      </c>
      <c r="C56" s="15" t="s">
        <v>400</v>
      </c>
      <c r="D56" s="15" t="s">
        <v>211</v>
      </c>
      <c r="E56" s="16">
        <v>45880</v>
      </c>
      <c r="F56" s="15" t="s">
        <v>401</v>
      </c>
      <c r="G56" s="15" t="s">
        <v>171</v>
      </c>
      <c r="H56" s="15" t="s">
        <v>147</v>
      </c>
      <c r="I56" s="15" t="s">
        <v>148</v>
      </c>
      <c r="J56" s="17">
        <v>2</v>
      </c>
      <c r="K56" s="15" t="s">
        <v>139</v>
      </c>
      <c r="L56" s="15" t="s">
        <v>128</v>
      </c>
      <c r="M56" s="15"/>
      <c r="N56" s="15" t="s">
        <v>130</v>
      </c>
      <c r="O56" s="17">
        <v>5</v>
      </c>
      <c r="P56" s="17">
        <v>20</v>
      </c>
      <c r="Q56" s="15" t="s">
        <v>202</v>
      </c>
    </row>
    <row r="57" spans="1:17" x14ac:dyDescent="0.3">
      <c r="A57" s="15" t="s">
        <v>402</v>
      </c>
      <c r="B57" s="16">
        <v>46026</v>
      </c>
      <c r="C57" s="15" t="s">
        <v>282</v>
      </c>
      <c r="D57" s="15" t="s">
        <v>283</v>
      </c>
      <c r="E57" s="16">
        <v>45916</v>
      </c>
      <c r="F57" s="15" t="s">
        <v>135</v>
      </c>
      <c r="G57" s="15" t="s">
        <v>178</v>
      </c>
      <c r="H57" s="15" t="s">
        <v>179</v>
      </c>
      <c r="I57" s="15" t="s">
        <v>368</v>
      </c>
      <c r="J57" s="17">
        <v>2</v>
      </c>
      <c r="K57" s="15" t="s">
        <v>187</v>
      </c>
      <c r="L57" s="15" t="s">
        <v>140</v>
      </c>
      <c r="M57" s="15"/>
      <c r="N57" s="15" t="s">
        <v>235</v>
      </c>
      <c r="O57" s="15"/>
      <c r="P57" s="17">
        <v>25</v>
      </c>
      <c r="Q57" s="15" t="s">
        <v>280</v>
      </c>
    </row>
    <row r="58" spans="1:17" x14ac:dyDescent="0.3">
      <c r="A58" s="15" t="s">
        <v>403</v>
      </c>
      <c r="B58" s="16">
        <v>45955</v>
      </c>
      <c r="C58" s="15" t="s">
        <v>404</v>
      </c>
      <c r="D58" s="15" t="s">
        <v>405</v>
      </c>
      <c r="E58" s="16">
        <v>45953</v>
      </c>
      <c r="F58" s="15" t="s">
        <v>123</v>
      </c>
      <c r="G58" s="15" t="s">
        <v>178</v>
      </c>
      <c r="H58" s="15" t="s">
        <v>179</v>
      </c>
      <c r="I58" s="15" t="s">
        <v>406</v>
      </c>
      <c r="J58" s="17">
        <v>2</v>
      </c>
      <c r="K58" s="15" t="s">
        <v>166</v>
      </c>
      <c r="L58" s="15" t="s">
        <v>140</v>
      </c>
      <c r="M58" s="15" t="s">
        <v>188</v>
      </c>
      <c r="N58" s="15" t="s">
        <v>130</v>
      </c>
      <c r="O58" s="17">
        <v>5</v>
      </c>
      <c r="P58" s="17">
        <v>28</v>
      </c>
      <c r="Q58" s="15" t="s">
        <v>202</v>
      </c>
    </row>
    <row r="59" spans="1:17" x14ac:dyDescent="0.3">
      <c r="A59" s="15" t="s">
        <v>407</v>
      </c>
      <c r="B59" s="16">
        <v>45955</v>
      </c>
      <c r="C59" s="15" t="s">
        <v>408</v>
      </c>
      <c r="D59" s="15" t="s">
        <v>409</v>
      </c>
      <c r="E59" s="16">
        <v>45955</v>
      </c>
      <c r="F59" s="15" t="s">
        <v>135</v>
      </c>
      <c r="G59" s="15" t="s">
        <v>146</v>
      </c>
      <c r="H59" s="15" t="s">
        <v>147</v>
      </c>
      <c r="I59" s="15" t="s">
        <v>172</v>
      </c>
      <c r="J59" s="17">
        <v>3</v>
      </c>
      <c r="K59" s="15" t="s">
        <v>265</v>
      </c>
      <c r="L59" s="15" t="s">
        <v>247</v>
      </c>
      <c r="M59" s="15" t="s">
        <v>188</v>
      </c>
      <c r="N59" s="15" t="s">
        <v>130</v>
      </c>
      <c r="O59" s="17">
        <v>4</v>
      </c>
      <c r="P59" s="17">
        <v>37</v>
      </c>
      <c r="Q59" s="15" t="s">
        <v>364</v>
      </c>
    </row>
    <row r="60" spans="1:17" x14ac:dyDescent="0.3">
      <c r="A60" s="15" t="s">
        <v>410</v>
      </c>
      <c r="B60" s="16">
        <v>46003</v>
      </c>
      <c r="C60" s="15" t="s">
        <v>411</v>
      </c>
      <c r="D60" s="15" t="s">
        <v>412</v>
      </c>
      <c r="E60" s="16">
        <v>45921</v>
      </c>
      <c r="F60" s="15" t="s">
        <v>413</v>
      </c>
      <c r="G60" s="15" t="s">
        <v>124</v>
      </c>
      <c r="H60" s="15" t="s">
        <v>125</v>
      </c>
      <c r="I60" s="15" t="s">
        <v>414</v>
      </c>
      <c r="J60" s="17">
        <v>4</v>
      </c>
      <c r="K60" s="15" t="s">
        <v>277</v>
      </c>
      <c r="L60" s="15" t="s">
        <v>128</v>
      </c>
      <c r="M60" s="15"/>
      <c r="N60" s="15" t="s">
        <v>130</v>
      </c>
      <c r="O60" s="17">
        <v>5</v>
      </c>
      <c r="P60" s="17">
        <v>31</v>
      </c>
      <c r="Q60" s="15"/>
    </row>
    <row r="61" spans="1:17" x14ac:dyDescent="0.3">
      <c r="A61" s="15" t="s">
        <v>415</v>
      </c>
      <c r="B61" s="16">
        <v>45951</v>
      </c>
      <c r="C61" s="15" t="s">
        <v>416</v>
      </c>
      <c r="D61" s="15" t="s">
        <v>417</v>
      </c>
      <c r="E61" s="16">
        <v>45871</v>
      </c>
      <c r="F61" s="15" t="s">
        <v>135</v>
      </c>
      <c r="G61" s="15" t="s">
        <v>146</v>
      </c>
      <c r="H61" s="15" t="s">
        <v>147</v>
      </c>
      <c r="I61" s="15" t="s">
        <v>148</v>
      </c>
      <c r="J61" s="17">
        <v>4</v>
      </c>
      <c r="K61" s="15" t="s">
        <v>265</v>
      </c>
      <c r="L61" s="15" t="s">
        <v>128</v>
      </c>
      <c r="M61" s="15" t="s">
        <v>188</v>
      </c>
      <c r="N61" s="15" t="s">
        <v>130</v>
      </c>
      <c r="O61" s="17">
        <v>4</v>
      </c>
      <c r="P61" s="17">
        <v>30</v>
      </c>
      <c r="Q61" s="15" t="s">
        <v>302</v>
      </c>
    </row>
    <row r="62" spans="1:17" x14ac:dyDescent="0.3">
      <c r="A62" s="15" t="s">
        <v>418</v>
      </c>
      <c r="B62" s="16">
        <v>45886</v>
      </c>
      <c r="C62" s="15" t="s">
        <v>419</v>
      </c>
      <c r="D62" s="15" t="s">
        <v>420</v>
      </c>
      <c r="E62" s="16">
        <v>45886</v>
      </c>
      <c r="F62" s="15" t="s">
        <v>145</v>
      </c>
      <c r="G62" s="15" t="s">
        <v>199</v>
      </c>
      <c r="H62" s="15" t="s">
        <v>179</v>
      </c>
      <c r="I62" s="15" t="s">
        <v>421</v>
      </c>
      <c r="J62" s="17">
        <v>3</v>
      </c>
      <c r="K62" s="15" t="s">
        <v>307</v>
      </c>
      <c r="L62" s="15" t="s">
        <v>128</v>
      </c>
      <c r="M62" s="15"/>
      <c r="N62" s="15" t="s">
        <v>235</v>
      </c>
      <c r="O62" s="15"/>
      <c r="P62" s="17">
        <v>56</v>
      </c>
      <c r="Q62" s="15" t="s">
        <v>359</v>
      </c>
    </row>
    <row r="63" spans="1:17" x14ac:dyDescent="0.3">
      <c r="A63" s="15" t="s">
        <v>422</v>
      </c>
      <c r="B63" s="16">
        <v>45958</v>
      </c>
      <c r="C63" s="15" t="s">
        <v>423</v>
      </c>
      <c r="D63" s="15" t="s">
        <v>424</v>
      </c>
      <c r="E63" s="16">
        <v>45909</v>
      </c>
      <c r="F63" s="15" t="s">
        <v>425</v>
      </c>
      <c r="G63" s="15" t="s">
        <v>155</v>
      </c>
      <c r="H63" s="15" t="s">
        <v>156</v>
      </c>
      <c r="I63" s="15" t="s">
        <v>389</v>
      </c>
      <c r="J63" s="17">
        <v>3</v>
      </c>
      <c r="K63" s="15" t="s">
        <v>358</v>
      </c>
      <c r="L63" s="15" t="s">
        <v>159</v>
      </c>
      <c r="M63" s="15"/>
      <c r="N63" s="15" t="s">
        <v>130</v>
      </c>
      <c r="O63" s="17">
        <v>4</v>
      </c>
      <c r="P63" s="17">
        <v>37</v>
      </c>
      <c r="Q63" s="15"/>
    </row>
    <row r="64" spans="1:17" x14ac:dyDescent="0.3">
      <c r="A64" s="15" t="s">
        <v>426</v>
      </c>
      <c r="B64" s="16">
        <v>46024</v>
      </c>
      <c r="C64" s="15" t="s">
        <v>427</v>
      </c>
      <c r="D64" s="15" t="s">
        <v>428</v>
      </c>
      <c r="E64" s="16">
        <v>45928</v>
      </c>
      <c r="F64" s="15" t="s">
        <v>206</v>
      </c>
      <c r="G64" s="15" t="s">
        <v>199</v>
      </c>
      <c r="H64" s="15" t="s">
        <v>179</v>
      </c>
      <c r="I64" s="15" t="s">
        <v>368</v>
      </c>
      <c r="J64" s="17">
        <v>3</v>
      </c>
      <c r="K64" s="15" t="s">
        <v>208</v>
      </c>
      <c r="L64" s="15" t="s">
        <v>128</v>
      </c>
      <c r="M64" s="15"/>
      <c r="N64" s="15" t="s">
        <v>279</v>
      </c>
      <c r="O64" s="15"/>
      <c r="P64" s="17">
        <v>39</v>
      </c>
      <c r="Q64" s="15" t="s">
        <v>280</v>
      </c>
    </row>
    <row r="65" spans="1:17" x14ac:dyDescent="0.3">
      <c r="A65" s="15" t="s">
        <v>429</v>
      </c>
      <c r="B65" s="16">
        <v>45921</v>
      </c>
      <c r="C65" s="15" t="s">
        <v>430</v>
      </c>
      <c r="D65" s="15" t="s">
        <v>431</v>
      </c>
      <c r="E65" s="16">
        <v>45917</v>
      </c>
      <c r="F65" s="15" t="s">
        <v>123</v>
      </c>
      <c r="G65" s="15" t="s">
        <v>199</v>
      </c>
      <c r="H65" s="15" t="s">
        <v>179</v>
      </c>
      <c r="I65" s="15" t="s">
        <v>200</v>
      </c>
      <c r="J65" s="17">
        <v>1</v>
      </c>
      <c r="K65" s="15" t="s">
        <v>166</v>
      </c>
      <c r="L65" s="15" t="s">
        <v>278</v>
      </c>
      <c r="M65" s="15"/>
      <c r="N65" s="15" t="s">
        <v>130</v>
      </c>
      <c r="O65" s="17">
        <v>5</v>
      </c>
      <c r="P65" s="17">
        <v>53</v>
      </c>
      <c r="Q65" s="15" t="s">
        <v>131</v>
      </c>
    </row>
    <row r="66" spans="1:17" x14ac:dyDescent="0.3">
      <c r="A66" s="15" t="s">
        <v>432</v>
      </c>
      <c r="B66" s="16">
        <v>45962</v>
      </c>
      <c r="C66" s="15" t="s">
        <v>433</v>
      </c>
      <c r="D66" s="15" t="s">
        <v>434</v>
      </c>
      <c r="E66" s="16">
        <v>45961</v>
      </c>
      <c r="F66" s="15" t="s">
        <v>435</v>
      </c>
      <c r="G66" s="15" t="s">
        <v>171</v>
      </c>
      <c r="H66" s="15" t="s">
        <v>147</v>
      </c>
      <c r="I66" s="15" t="s">
        <v>172</v>
      </c>
      <c r="J66" s="17">
        <v>1</v>
      </c>
      <c r="K66" s="15" t="s">
        <v>127</v>
      </c>
      <c r="L66" s="15" t="s">
        <v>128</v>
      </c>
      <c r="M66" s="15"/>
      <c r="N66" s="15" t="s">
        <v>279</v>
      </c>
      <c r="O66" s="15"/>
      <c r="P66" s="17">
        <v>49</v>
      </c>
      <c r="Q66" s="15"/>
    </row>
    <row r="67" spans="1:17" x14ac:dyDescent="0.3">
      <c r="A67" s="15" t="s">
        <v>436</v>
      </c>
      <c r="B67" s="16">
        <v>45957</v>
      </c>
      <c r="C67" s="15" t="s">
        <v>437</v>
      </c>
      <c r="D67" s="15" t="s">
        <v>438</v>
      </c>
      <c r="E67" s="16">
        <v>45956</v>
      </c>
      <c r="F67" s="15" t="s">
        <v>198</v>
      </c>
      <c r="G67" s="15" t="s">
        <v>136</v>
      </c>
      <c r="H67" s="15" t="s">
        <v>137</v>
      </c>
      <c r="I67" s="15" t="s">
        <v>439</v>
      </c>
      <c r="J67" s="17">
        <v>1</v>
      </c>
      <c r="K67" s="15" t="s">
        <v>201</v>
      </c>
      <c r="L67" s="15" t="s">
        <v>140</v>
      </c>
      <c r="M67" s="15"/>
      <c r="N67" s="15" t="s">
        <v>130</v>
      </c>
      <c r="O67" s="17">
        <v>5</v>
      </c>
      <c r="P67" s="17">
        <v>27</v>
      </c>
      <c r="Q67" s="15" t="s">
        <v>141</v>
      </c>
    </row>
    <row r="68" spans="1:17" x14ac:dyDescent="0.3">
      <c r="A68" s="15" t="s">
        <v>440</v>
      </c>
      <c r="B68" s="16">
        <v>45910</v>
      </c>
      <c r="C68" s="15" t="s">
        <v>226</v>
      </c>
      <c r="D68" s="15" t="s">
        <v>441</v>
      </c>
      <c r="E68" s="16">
        <v>45895</v>
      </c>
      <c r="F68" s="15" t="s">
        <v>198</v>
      </c>
      <c r="G68" s="15" t="s">
        <v>146</v>
      </c>
      <c r="H68" s="15" t="s">
        <v>147</v>
      </c>
      <c r="I68" s="15" t="s">
        <v>442</v>
      </c>
      <c r="J68" s="17">
        <v>2</v>
      </c>
      <c r="K68" s="15" t="s">
        <v>213</v>
      </c>
      <c r="L68" s="15" t="s">
        <v>140</v>
      </c>
      <c r="M68" s="15"/>
      <c r="N68" s="15" t="s">
        <v>130</v>
      </c>
      <c r="O68" s="17">
        <v>4</v>
      </c>
      <c r="P68" s="17">
        <v>24</v>
      </c>
      <c r="Q68" s="15"/>
    </row>
    <row r="69" spans="1:17" x14ac:dyDescent="0.3">
      <c r="A69" s="15" t="s">
        <v>443</v>
      </c>
      <c r="B69" s="16">
        <v>46022</v>
      </c>
      <c r="C69" s="15" t="s">
        <v>444</v>
      </c>
      <c r="D69" s="15" t="s">
        <v>445</v>
      </c>
      <c r="E69" s="16">
        <v>45947</v>
      </c>
      <c r="F69" s="15" t="s">
        <v>259</v>
      </c>
      <c r="G69" s="15" t="s">
        <v>288</v>
      </c>
      <c r="H69" s="15" t="s">
        <v>156</v>
      </c>
      <c r="I69" s="15" t="s">
        <v>157</v>
      </c>
      <c r="J69" s="17">
        <v>4</v>
      </c>
      <c r="K69" s="15" t="s">
        <v>260</v>
      </c>
      <c r="L69" s="15" t="s">
        <v>128</v>
      </c>
      <c r="M69" s="15"/>
      <c r="N69" s="15" t="s">
        <v>279</v>
      </c>
      <c r="O69" s="15"/>
      <c r="P69" s="17">
        <v>2</v>
      </c>
      <c r="Q69" s="15" t="s">
        <v>280</v>
      </c>
    </row>
    <row r="70" spans="1:17" x14ac:dyDescent="0.3">
      <c r="A70" s="15" t="s">
        <v>446</v>
      </c>
      <c r="B70" s="16">
        <v>45911</v>
      </c>
      <c r="C70" s="15" t="s">
        <v>447</v>
      </c>
      <c r="D70" s="15" t="s">
        <v>448</v>
      </c>
      <c r="E70" s="16">
        <v>45889</v>
      </c>
      <c r="F70" s="15" t="s">
        <v>145</v>
      </c>
      <c r="G70" s="15" t="s">
        <v>232</v>
      </c>
      <c r="H70" s="15" t="s">
        <v>233</v>
      </c>
      <c r="I70" s="15" t="s">
        <v>449</v>
      </c>
      <c r="J70" s="17">
        <v>2</v>
      </c>
      <c r="K70" s="15" t="s">
        <v>450</v>
      </c>
      <c r="L70" s="15" t="s">
        <v>247</v>
      </c>
      <c r="M70" s="15"/>
      <c r="N70" s="15" t="s">
        <v>130</v>
      </c>
      <c r="O70" s="17">
        <v>5</v>
      </c>
      <c r="P70" s="17">
        <v>51</v>
      </c>
      <c r="Q70" s="15"/>
    </row>
    <row r="71" spans="1:17" x14ac:dyDescent="0.3">
      <c r="A71" s="15" t="s">
        <v>451</v>
      </c>
      <c r="B71" s="16">
        <v>45958</v>
      </c>
      <c r="C71" s="15" t="s">
        <v>452</v>
      </c>
      <c r="D71" s="15" t="s">
        <v>211</v>
      </c>
      <c r="E71" s="16">
        <v>45880</v>
      </c>
      <c r="F71" s="15" t="s">
        <v>198</v>
      </c>
      <c r="G71" s="15" t="s">
        <v>199</v>
      </c>
      <c r="H71" s="15" t="s">
        <v>179</v>
      </c>
      <c r="I71" s="15" t="s">
        <v>453</v>
      </c>
      <c r="J71" s="17">
        <v>3</v>
      </c>
      <c r="K71" s="15" t="s">
        <v>213</v>
      </c>
      <c r="L71" s="15" t="s">
        <v>159</v>
      </c>
      <c r="M71" s="15"/>
      <c r="N71" s="15" t="s">
        <v>130</v>
      </c>
      <c r="O71" s="17">
        <v>5</v>
      </c>
      <c r="P71" s="17">
        <v>25</v>
      </c>
      <c r="Q71" s="15" t="s">
        <v>291</v>
      </c>
    </row>
    <row r="72" spans="1:17" x14ac:dyDescent="0.3">
      <c r="A72" s="15" t="s">
        <v>454</v>
      </c>
      <c r="B72" s="16">
        <v>46004</v>
      </c>
      <c r="C72" s="15" t="s">
        <v>455</v>
      </c>
      <c r="D72" s="15" t="s">
        <v>456</v>
      </c>
      <c r="E72" s="16">
        <v>45966</v>
      </c>
      <c r="F72" s="15" t="s">
        <v>135</v>
      </c>
      <c r="G72" s="15" t="s">
        <v>171</v>
      </c>
      <c r="H72" s="15" t="s">
        <v>147</v>
      </c>
      <c r="I72" s="15" t="s">
        <v>264</v>
      </c>
      <c r="J72" s="17">
        <v>1</v>
      </c>
      <c r="K72" s="15" t="s">
        <v>187</v>
      </c>
      <c r="L72" s="15" t="s">
        <v>159</v>
      </c>
      <c r="M72" s="15" t="s">
        <v>129</v>
      </c>
      <c r="N72" s="15" t="s">
        <v>130</v>
      </c>
      <c r="O72" s="17">
        <v>5</v>
      </c>
      <c r="P72" s="17">
        <v>33</v>
      </c>
      <c r="Q72" s="15"/>
    </row>
    <row r="73" spans="1:17" x14ac:dyDescent="0.3">
      <c r="A73" s="15" t="s">
        <v>457</v>
      </c>
      <c r="B73" s="16">
        <v>45919</v>
      </c>
      <c r="C73" s="15" t="s">
        <v>458</v>
      </c>
      <c r="D73" s="15" t="s">
        <v>371</v>
      </c>
      <c r="E73" s="16">
        <v>45871</v>
      </c>
      <c r="F73" s="15" t="s">
        <v>397</v>
      </c>
      <c r="G73" s="15" t="s">
        <v>288</v>
      </c>
      <c r="H73" s="15" t="s">
        <v>156</v>
      </c>
      <c r="I73" s="15" t="s">
        <v>459</v>
      </c>
      <c r="J73" s="17">
        <v>1</v>
      </c>
      <c r="K73" s="15" t="s">
        <v>277</v>
      </c>
      <c r="L73" s="15" t="s">
        <v>247</v>
      </c>
      <c r="M73" s="15" t="s">
        <v>129</v>
      </c>
      <c r="N73" s="15" t="s">
        <v>130</v>
      </c>
      <c r="O73" s="17">
        <v>5</v>
      </c>
      <c r="P73" s="17">
        <v>33</v>
      </c>
      <c r="Q73" s="15" t="s">
        <v>291</v>
      </c>
    </row>
    <row r="74" spans="1:17" x14ac:dyDescent="0.3">
      <c r="A74" s="15" t="s">
        <v>460</v>
      </c>
      <c r="B74" s="16">
        <v>45949</v>
      </c>
      <c r="C74" s="15" t="s">
        <v>461</v>
      </c>
      <c r="D74" s="15" t="s">
        <v>254</v>
      </c>
      <c r="E74" s="16">
        <v>45885</v>
      </c>
      <c r="F74" s="15" t="s">
        <v>259</v>
      </c>
      <c r="G74" s="15" t="s">
        <v>339</v>
      </c>
      <c r="H74" s="15" t="s">
        <v>233</v>
      </c>
      <c r="I74" s="15" t="s">
        <v>276</v>
      </c>
      <c r="J74" s="17">
        <v>3</v>
      </c>
      <c r="K74" s="15" t="s">
        <v>260</v>
      </c>
      <c r="L74" s="15" t="s">
        <v>159</v>
      </c>
      <c r="M74" s="15" t="s">
        <v>188</v>
      </c>
      <c r="N74" s="15" t="s">
        <v>130</v>
      </c>
      <c r="O74" s="17">
        <v>5</v>
      </c>
      <c r="P74" s="17">
        <v>36</v>
      </c>
      <c r="Q74" s="15"/>
    </row>
    <row r="75" spans="1:17" x14ac:dyDescent="0.3">
      <c r="A75" s="15" t="s">
        <v>462</v>
      </c>
      <c r="B75" s="16">
        <v>45901</v>
      </c>
      <c r="C75" s="15" t="s">
        <v>463</v>
      </c>
      <c r="D75" s="15" t="s">
        <v>464</v>
      </c>
      <c r="E75" s="16">
        <v>45721</v>
      </c>
      <c r="F75" s="15" t="s">
        <v>135</v>
      </c>
      <c r="G75" s="15" t="s">
        <v>178</v>
      </c>
      <c r="H75" s="15" t="s">
        <v>179</v>
      </c>
      <c r="I75" s="15" t="s">
        <v>465</v>
      </c>
      <c r="J75" s="17">
        <v>2</v>
      </c>
      <c r="K75" s="15" t="s">
        <v>139</v>
      </c>
      <c r="L75" s="15" t="s">
        <v>128</v>
      </c>
      <c r="M75" s="15"/>
      <c r="N75" s="15" t="s">
        <v>130</v>
      </c>
      <c r="O75" s="17">
        <v>4</v>
      </c>
      <c r="P75" s="17">
        <v>41</v>
      </c>
      <c r="Q75" s="15"/>
    </row>
    <row r="76" spans="1:17" x14ac:dyDescent="0.3">
      <c r="A76" s="15" t="s">
        <v>466</v>
      </c>
      <c r="B76" s="16">
        <v>46013</v>
      </c>
      <c r="C76" s="15" t="s">
        <v>447</v>
      </c>
      <c r="D76" s="15" t="s">
        <v>467</v>
      </c>
      <c r="E76" s="16">
        <v>45889</v>
      </c>
      <c r="F76" s="15" t="s">
        <v>135</v>
      </c>
      <c r="G76" s="15" t="s">
        <v>339</v>
      </c>
      <c r="H76" s="15" t="s">
        <v>233</v>
      </c>
      <c r="I76" s="15" t="s">
        <v>468</v>
      </c>
      <c r="J76" s="17">
        <v>4</v>
      </c>
      <c r="K76" s="15" t="s">
        <v>223</v>
      </c>
      <c r="L76" s="15" t="s">
        <v>159</v>
      </c>
      <c r="M76" s="15"/>
      <c r="N76" s="15" t="s">
        <v>279</v>
      </c>
      <c r="O76" s="15"/>
      <c r="P76" s="17">
        <v>26</v>
      </c>
      <c r="Q76" s="15"/>
    </row>
    <row r="77" spans="1:17" x14ac:dyDescent="0.3">
      <c r="A77" s="15" t="s">
        <v>469</v>
      </c>
      <c r="B77" s="16">
        <v>45904</v>
      </c>
      <c r="C77" s="15" t="s">
        <v>220</v>
      </c>
      <c r="D77" s="15" t="s">
        <v>470</v>
      </c>
      <c r="E77" s="16">
        <v>45904</v>
      </c>
      <c r="F77" s="15" t="s">
        <v>135</v>
      </c>
      <c r="G77" s="15" t="s">
        <v>331</v>
      </c>
      <c r="H77" s="15" t="s">
        <v>164</v>
      </c>
      <c r="I77" s="15" t="s">
        <v>393</v>
      </c>
      <c r="J77" s="17">
        <v>2</v>
      </c>
      <c r="K77" s="15" t="s">
        <v>139</v>
      </c>
      <c r="L77" s="15" t="s">
        <v>159</v>
      </c>
      <c r="M77" s="15"/>
      <c r="N77" s="15" t="s">
        <v>130</v>
      </c>
      <c r="O77" s="17">
        <v>5</v>
      </c>
      <c r="P77" s="17">
        <v>26</v>
      </c>
      <c r="Q77" s="15"/>
    </row>
    <row r="78" spans="1:17" x14ac:dyDescent="0.3">
      <c r="A78" s="15" t="s">
        <v>471</v>
      </c>
      <c r="B78" s="16">
        <v>45945</v>
      </c>
      <c r="C78" s="15" t="s">
        <v>472</v>
      </c>
      <c r="D78" s="15" t="s">
        <v>473</v>
      </c>
      <c r="E78" s="16">
        <v>45944</v>
      </c>
      <c r="F78" s="15" t="s">
        <v>259</v>
      </c>
      <c r="G78" s="15" t="s">
        <v>232</v>
      </c>
      <c r="H78" s="15" t="s">
        <v>233</v>
      </c>
      <c r="I78" s="15" t="s">
        <v>234</v>
      </c>
      <c r="J78" s="17">
        <v>3</v>
      </c>
      <c r="K78" s="15" t="s">
        <v>474</v>
      </c>
      <c r="L78" s="15" t="s">
        <v>140</v>
      </c>
      <c r="M78" s="15" t="s">
        <v>188</v>
      </c>
      <c r="N78" s="15" t="s">
        <v>130</v>
      </c>
      <c r="O78" s="17">
        <v>3</v>
      </c>
      <c r="P78" s="17">
        <v>59</v>
      </c>
      <c r="Q78" s="15"/>
    </row>
    <row r="79" spans="1:17" x14ac:dyDescent="0.3">
      <c r="A79" s="15" t="s">
        <v>475</v>
      </c>
      <c r="B79" s="16">
        <v>45962</v>
      </c>
      <c r="C79" s="15" t="s">
        <v>416</v>
      </c>
      <c r="D79" s="15" t="s">
        <v>417</v>
      </c>
      <c r="E79" s="16">
        <v>45871</v>
      </c>
      <c r="F79" s="15" t="s">
        <v>425</v>
      </c>
      <c r="G79" s="15" t="s">
        <v>288</v>
      </c>
      <c r="H79" s="15" t="s">
        <v>156</v>
      </c>
      <c r="I79" s="15" t="s">
        <v>306</v>
      </c>
      <c r="J79" s="17">
        <v>2</v>
      </c>
      <c r="K79" s="15" t="s">
        <v>298</v>
      </c>
      <c r="L79" s="15" t="s">
        <v>128</v>
      </c>
      <c r="M79" s="15" t="s">
        <v>182</v>
      </c>
      <c r="N79" s="15"/>
      <c r="O79" s="15"/>
      <c r="P79" s="17">
        <v>44</v>
      </c>
      <c r="Q79" s="15"/>
    </row>
    <row r="80" spans="1:17" x14ac:dyDescent="0.3">
      <c r="A80" s="15" t="s">
        <v>476</v>
      </c>
      <c r="B80" s="16">
        <v>46025</v>
      </c>
      <c r="C80" s="15" t="s">
        <v>477</v>
      </c>
      <c r="D80" s="15" t="s">
        <v>478</v>
      </c>
      <c r="E80" s="16">
        <v>45953</v>
      </c>
      <c r="F80" s="15" t="s">
        <v>397</v>
      </c>
      <c r="G80" s="15" t="s">
        <v>199</v>
      </c>
      <c r="H80" s="15" t="s">
        <v>179</v>
      </c>
      <c r="I80" s="15" t="s">
        <v>479</v>
      </c>
      <c r="J80" s="17">
        <v>1</v>
      </c>
      <c r="K80" s="15" t="s">
        <v>265</v>
      </c>
      <c r="L80" s="15" t="s">
        <v>128</v>
      </c>
      <c r="M80" s="15" t="s">
        <v>336</v>
      </c>
      <c r="N80" s="15" t="s">
        <v>130</v>
      </c>
      <c r="O80" s="17">
        <v>5</v>
      </c>
      <c r="P80" s="17">
        <v>24</v>
      </c>
      <c r="Q80" s="15"/>
    </row>
    <row r="81" spans="1:17" x14ac:dyDescent="0.3">
      <c r="A81" s="15" t="s">
        <v>480</v>
      </c>
      <c r="B81" s="16">
        <v>45886</v>
      </c>
      <c r="C81" s="15" t="s">
        <v>481</v>
      </c>
      <c r="D81" s="15" t="s">
        <v>250</v>
      </c>
      <c r="E81" s="16">
        <v>45874</v>
      </c>
      <c r="F81" s="15" t="s">
        <v>177</v>
      </c>
      <c r="G81" s="15" t="s">
        <v>331</v>
      </c>
      <c r="H81" s="15" t="s">
        <v>164</v>
      </c>
      <c r="I81" s="15" t="s">
        <v>332</v>
      </c>
      <c r="J81" s="17">
        <v>1</v>
      </c>
      <c r="K81" s="15" t="s">
        <v>181</v>
      </c>
      <c r="L81" s="15" t="s">
        <v>159</v>
      </c>
      <c r="M81" s="15"/>
      <c r="N81" s="15" t="s">
        <v>130</v>
      </c>
      <c r="O81" s="17">
        <v>4</v>
      </c>
      <c r="P81" s="17">
        <v>24</v>
      </c>
      <c r="Q81" s="15"/>
    </row>
    <row r="82" spans="1:17" x14ac:dyDescent="0.3">
      <c r="A82" s="15" t="s">
        <v>482</v>
      </c>
      <c r="B82" s="16">
        <v>45954</v>
      </c>
      <c r="C82" s="15" t="s">
        <v>483</v>
      </c>
      <c r="D82" s="15" t="s">
        <v>484</v>
      </c>
      <c r="E82" s="16">
        <v>45937</v>
      </c>
      <c r="F82" s="15" t="s">
        <v>425</v>
      </c>
      <c r="G82" s="15" t="s">
        <v>124</v>
      </c>
      <c r="H82" s="15" t="s">
        <v>125</v>
      </c>
      <c r="I82" s="15" t="s">
        <v>485</v>
      </c>
      <c r="J82" s="17">
        <v>1</v>
      </c>
      <c r="K82" s="15" t="s">
        <v>298</v>
      </c>
      <c r="L82" s="15" t="s">
        <v>140</v>
      </c>
      <c r="M82" s="15" t="s">
        <v>188</v>
      </c>
      <c r="N82" s="15" t="s">
        <v>130</v>
      </c>
      <c r="O82" s="17">
        <v>4</v>
      </c>
      <c r="P82" s="17">
        <v>39</v>
      </c>
      <c r="Q82" s="15" t="s">
        <v>291</v>
      </c>
    </row>
    <row r="83" spans="1:17" x14ac:dyDescent="0.3">
      <c r="A83" s="15" t="s">
        <v>486</v>
      </c>
      <c r="B83" s="16">
        <v>46027</v>
      </c>
      <c r="C83" s="15" t="s">
        <v>487</v>
      </c>
      <c r="D83" s="15" t="s">
        <v>287</v>
      </c>
      <c r="E83" s="16">
        <v>45918</v>
      </c>
      <c r="F83" s="15" t="s">
        <v>206</v>
      </c>
      <c r="G83" s="15" t="s">
        <v>178</v>
      </c>
      <c r="H83" s="15" t="s">
        <v>179</v>
      </c>
      <c r="I83" s="15" t="s">
        <v>180</v>
      </c>
      <c r="J83" s="17">
        <v>1</v>
      </c>
      <c r="K83" s="15" t="s">
        <v>358</v>
      </c>
      <c r="L83" s="15" t="s">
        <v>247</v>
      </c>
      <c r="M83" s="15"/>
      <c r="N83" s="15" t="s">
        <v>130</v>
      </c>
      <c r="O83" s="17">
        <v>4</v>
      </c>
      <c r="P83" s="17">
        <v>40</v>
      </c>
      <c r="Q83" s="15" t="s">
        <v>141</v>
      </c>
    </row>
    <row r="84" spans="1:17" x14ac:dyDescent="0.3">
      <c r="A84" s="15" t="s">
        <v>488</v>
      </c>
      <c r="B84" s="16">
        <v>45961</v>
      </c>
      <c r="C84" s="15" t="s">
        <v>489</v>
      </c>
      <c r="D84" s="15" t="s">
        <v>490</v>
      </c>
      <c r="E84" s="16">
        <v>45926</v>
      </c>
      <c r="F84" s="15" t="s">
        <v>170</v>
      </c>
      <c r="G84" s="15" t="s">
        <v>245</v>
      </c>
      <c r="H84" s="15" t="s">
        <v>233</v>
      </c>
      <c r="I84" s="15" t="s">
        <v>363</v>
      </c>
      <c r="J84" s="17">
        <v>4</v>
      </c>
      <c r="K84" s="15" t="s">
        <v>173</v>
      </c>
      <c r="L84" s="15" t="s">
        <v>140</v>
      </c>
      <c r="M84" s="15" t="s">
        <v>182</v>
      </c>
      <c r="N84" s="15" t="s">
        <v>130</v>
      </c>
      <c r="O84" s="17">
        <v>3</v>
      </c>
      <c r="P84" s="17">
        <v>36</v>
      </c>
      <c r="Q84" s="15" t="s">
        <v>194</v>
      </c>
    </row>
    <row r="85" spans="1:17" x14ac:dyDescent="0.3">
      <c r="A85" s="15" t="s">
        <v>491</v>
      </c>
      <c r="B85" s="16">
        <v>45967</v>
      </c>
      <c r="C85" s="15" t="s">
        <v>492</v>
      </c>
      <c r="D85" s="15" t="s">
        <v>227</v>
      </c>
      <c r="E85" s="16">
        <v>45967</v>
      </c>
      <c r="F85" s="15" t="s">
        <v>206</v>
      </c>
      <c r="G85" s="15" t="s">
        <v>146</v>
      </c>
      <c r="H85" s="15" t="s">
        <v>147</v>
      </c>
      <c r="I85" s="15" t="s">
        <v>264</v>
      </c>
      <c r="J85" s="17">
        <v>3</v>
      </c>
      <c r="K85" s="15" t="s">
        <v>208</v>
      </c>
      <c r="L85" s="15" t="s">
        <v>140</v>
      </c>
      <c r="M85" s="15" t="s">
        <v>182</v>
      </c>
      <c r="N85" s="15" t="s">
        <v>130</v>
      </c>
      <c r="O85" s="17">
        <v>5</v>
      </c>
      <c r="P85" s="17">
        <v>43</v>
      </c>
      <c r="Q85" s="15"/>
    </row>
    <row r="86" spans="1:17" x14ac:dyDescent="0.3">
      <c r="A86" s="15" t="s">
        <v>493</v>
      </c>
      <c r="B86" s="16">
        <v>46024</v>
      </c>
      <c r="C86" s="15" t="s">
        <v>494</v>
      </c>
      <c r="D86" s="15" t="s">
        <v>495</v>
      </c>
      <c r="E86" s="16">
        <v>45947</v>
      </c>
      <c r="F86" s="15" t="s">
        <v>145</v>
      </c>
      <c r="G86" s="15" t="s">
        <v>331</v>
      </c>
      <c r="H86" s="15" t="s">
        <v>164</v>
      </c>
      <c r="I86" s="15" t="s">
        <v>393</v>
      </c>
      <c r="J86" s="17">
        <v>1</v>
      </c>
      <c r="K86" s="15" t="s">
        <v>149</v>
      </c>
      <c r="L86" s="15" t="s">
        <v>140</v>
      </c>
      <c r="M86" s="15"/>
      <c r="N86" s="15" t="s">
        <v>130</v>
      </c>
      <c r="O86" s="17">
        <v>5</v>
      </c>
      <c r="P86" s="17">
        <v>31</v>
      </c>
      <c r="Q86" s="15"/>
    </row>
    <row r="87" spans="1:17" x14ac:dyDescent="0.3">
      <c r="A87" s="15" t="s">
        <v>496</v>
      </c>
      <c r="B87" s="16">
        <v>46013</v>
      </c>
      <c r="C87" s="15" t="s">
        <v>497</v>
      </c>
      <c r="D87" s="15" t="s">
        <v>169</v>
      </c>
      <c r="E87" s="16">
        <v>45963</v>
      </c>
      <c r="F87" s="15" t="s">
        <v>498</v>
      </c>
      <c r="G87" s="15" t="s">
        <v>232</v>
      </c>
      <c r="H87" s="15" t="s">
        <v>233</v>
      </c>
      <c r="I87" s="15" t="s">
        <v>499</v>
      </c>
      <c r="J87" s="17">
        <v>4</v>
      </c>
      <c r="K87" s="15" t="s">
        <v>450</v>
      </c>
      <c r="L87" s="15" t="s">
        <v>140</v>
      </c>
      <c r="M87" s="15" t="s">
        <v>336</v>
      </c>
      <c r="N87" s="15" t="s">
        <v>279</v>
      </c>
      <c r="O87" s="15"/>
      <c r="P87" s="17">
        <v>54</v>
      </c>
      <c r="Q87" s="15"/>
    </row>
    <row r="88" spans="1:17" x14ac:dyDescent="0.3">
      <c r="A88" s="15" t="s">
        <v>500</v>
      </c>
      <c r="B88" s="16">
        <v>46008</v>
      </c>
      <c r="C88" s="15" t="s">
        <v>243</v>
      </c>
      <c r="D88" s="15" t="s">
        <v>501</v>
      </c>
      <c r="E88" s="16">
        <v>45952</v>
      </c>
      <c r="F88" s="15" t="s">
        <v>170</v>
      </c>
      <c r="G88" s="15" t="s">
        <v>171</v>
      </c>
      <c r="H88" s="15" t="s">
        <v>147</v>
      </c>
      <c r="I88" s="15" t="s">
        <v>502</v>
      </c>
      <c r="J88" s="17">
        <v>1</v>
      </c>
      <c r="K88" s="15" t="s">
        <v>173</v>
      </c>
      <c r="L88" s="15" t="s">
        <v>159</v>
      </c>
      <c r="M88" s="15"/>
      <c r="N88" s="15" t="s">
        <v>130</v>
      </c>
      <c r="O88" s="17">
        <v>4</v>
      </c>
      <c r="P88" s="17">
        <v>50</v>
      </c>
      <c r="Q88" s="15" t="s">
        <v>291</v>
      </c>
    </row>
    <row r="89" spans="1:17" x14ac:dyDescent="0.3">
      <c r="A89" s="15" t="s">
        <v>503</v>
      </c>
      <c r="B89" s="16">
        <v>46032</v>
      </c>
      <c r="C89" s="15" t="s">
        <v>504</v>
      </c>
      <c r="D89" s="15" t="s">
        <v>505</v>
      </c>
      <c r="E89" s="16">
        <v>45959</v>
      </c>
      <c r="F89" s="15" t="s">
        <v>145</v>
      </c>
      <c r="G89" s="15" t="s">
        <v>124</v>
      </c>
      <c r="H89" s="15" t="s">
        <v>125</v>
      </c>
      <c r="I89" s="15" t="s">
        <v>295</v>
      </c>
      <c r="J89" s="17">
        <v>2</v>
      </c>
      <c r="K89" s="15" t="s">
        <v>149</v>
      </c>
      <c r="L89" s="15" t="s">
        <v>247</v>
      </c>
      <c r="M89" s="15"/>
      <c r="N89" s="15" t="s">
        <v>130</v>
      </c>
      <c r="O89" s="17">
        <v>4</v>
      </c>
      <c r="P89" s="17">
        <v>45</v>
      </c>
      <c r="Q89" s="15"/>
    </row>
    <row r="90" spans="1:17" x14ac:dyDescent="0.3">
      <c r="A90" s="15" t="s">
        <v>506</v>
      </c>
      <c r="B90" s="16">
        <v>46030</v>
      </c>
      <c r="C90" s="15" t="s">
        <v>507</v>
      </c>
      <c r="D90" s="15" t="s">
        <v>508</v>
      </c>
      <c r="E90" s="16">
        <v>45701</v>
      </c>
      <c r="F90" s="15" t="s">
        <v>413</v>
      </c>
      <c r="G90" s="15" t="s">
        <v>288</v>
      </c>
      <c r="H90" s="15" t="s">
        <v>156</v>
      </c>
      <c r="I90" s="15" t="s">
        <v>389</v>
      </c>
      <c r="J90" s="17">
        <v>1</v>
      </c>
      <c r="K90" s="15" t="s">
        <v>139</v>
      </c>
      <c r="L90" s="15" t="s">
        <v>247</v>
      </c>
      <c r="M90" s="15"/>
      <c r="N90" s="15" t="s">
        <v>130</v>
      </c>
      <c r="O90" s="17">
        <v>4</v>
      </c>
      <c r="P90" s="17">
        <v>35</v>
      </c>
      <c r="Q90" s="15"/>
    </row>
    <row r="91" spans="1:17" x14ac:dyDescent="0.3">
      <c r="A91" s="15" t="s">
        <v>509</v>
      </c>
      <c r="B91" s="16">
        <v>45997</v>
      </c>
      <c r="C91" s="15" t="s">
        <v>293</v>
      </c>
      <c r="D91" s="15" t="s">
        <v>185</v>
      </c>
      <c r="E91" s="16">
        <v>45909</v>
      </c>
      <c r="F91" s="15" t="s">
        <v>206</v>
      </c>
      <c r="G91" s="15" t="s">
        <v>178</v>
      </c>
      <c r="H91" s="15" t="s">
        <v>179</v>
      </c>
      <c r="I91" s="15" t="s">
        <v>297</v>
      </c>
      <c r="J91" s="17">
        <v>3</v>
      </c>
      <c r="K91" s="15" t="s">
        <v>353</v>
      </c>
      <c r="L91" s="15" t="s">
        <v>159</v>
      </c>
      <c r="M91" s="15"/>
      <c r="N91" s="15" t="s">
        <v>130</v>
      </c>
      <c r="O91" s="17">
        <v>5</v>
      </c>
      <c r="P91" s="17">
        <v>31</v>
      </c>
      <c r="Q91" s="15"/>
    </row>
    <row r="92" spans="1:17" x14ac:dyDescent="0.3">
      <c r="A92" s="15" t="s">
        <v>510</v>
      </c>
      <c r="B92" s="16">
        <v>45897</v>
      </c>
      <c r="C92" s="15" t="s">
        <v>511</v>
      </c>
      <c r="D92" s="15" t="s">
        <v>441</v>
      </c>
      <c r="E92" s="16">
        <v>45895</v>
      </c>
      <c r="F92" s="15" t="s">
        <v>145</v>
      </c>
      <c r="G92" s="15" t="s">
        <v>178</v>
      </c>
      <c r="H92" s="15" t="s">
        <v>179</v>
      </c>
      <c r="I92" s="15" t="s">
        <v>512</v>
      </c>
      <c r="J92" s="17">
        <v>1</v>
      </c>
      <c r="K92" s="15" t="s">
        <v>307</v>
      </c>
      <c r="L92" s="15" t="s">
        <v>159</v>
      </c>
      <c r="M92" s="15"/>
      <c r="N92" s="15" t="s">
        <v>130</v>
      </c>
      <c r="O92" s="17">
        <v>5</v>
      </c>
      <c r="P92" s="17">
        <v>28</v>
      </c>
      <c r="Q92" s="15"/>
    </row>
    <row r="93" spans="1:17" x14ac:dyDescent="0.3">
      <c r="A93" s="15" t="s">
        <v>513</v>
      </c>
      <c r="B93" s="16">
        <v>45960</v>
      </c>
      <c r="C93" s="15" t="s">
        <v>514</v>
      </c>
      <c r="D93" s="15" t="s">
        <v>505</v>
      </c>
      <c r="E93" s="16">
        <v>45959</v>
      </c>
      <c r="F93" s="15" t="s">
        <v>206</v>
      </c>
      <c r="G93" s="15" t="s">
        <v>199</v>
      </c>
      <c r="H93" s="15" t="s">
        <v>179</v>
      </c>
      <c r="I93" s="15" t="s">
        <v>368</v>
      </c>
      <c r="J93" s="17">
        <v>3</v>
      </c>
      <c r="K93" s="15" t="s">
        <v>353</v>
      </c>
      <c r="L93" s="15" t="s">
        <v>140</v>
      </c>
      <c r="M93" s="15" t="s">
        <v>240</v>
      </c>
      <c r="N93" s="15" t="s">
        <v>130</v>
      </c>
      <c r="O93" s="17">
        <v>3</v>
      </c>
      <c r="P93" s="17">
        <v>29</v>
      </c>
      <c r="Q93" s="15"/>
    </row>
    <row r="94" spans="1:17" x14ac:dyDescent="0.3">
      <c r="A94" s="15" t="s">
        <v>515</v>
      </c>
      <c r="B94" s="16">
        <v>45960</v>
      </c>
      <c r="C94" s="15" t="s">
        <v>516</v>
      </c>
      <c r="D94" s="15" t="s">
        <v>221</v>
      </c>
      <c r="E94" s="16">
        <v>45904</v>
      </c>
      <c r="F94" s="15" t="s">
        <v>259</v>
      </c>
      <c r="G94" s="15" t="s">
        <v>163</v>
      </c>
      <c r="H94" s="15" t="s">
        <v>164</v>
      </c>
      <c r="I94" s="15" t="s">
        <v>517</v>
      </c>
      <c r="J94" s="17">
        <v>2</v>
      </c>
      <c r="K94" s="15" t="s">
        <v>260</v>
      </c>
      <c r="L94" s="15" t="s">
        <v>159</v>
      </c>
      <c r="M94" s="15" t="s">
        <v>518</v>
      </c>
      <c r="N94" s="15" t="s">
        <v>130</v>
      </c>
      <c r="O94" s="17">
        <v>3</v>
      </c>
      <c r="P94" s="17">
        <v>59</v>
      </c>
      <c r="Q94" s="15"/>
    </row>
    <row r="95" spans="1:17" x14ac:dyDescent="0.3">
      <c r="A95" s="15" t="s">
        <v>519</v>
      </c>
      <c r="B95" s="16">
        <v>45978</v>
      </c>
      <c r="C95" s="15" t="s">
        <v>520</v>
      </c>
      <c r="D95" s="15" t="s">
        <v>473</v>
      </c>
      <c r="E95" s="16">
        <v>45944</v>
      </c>
      <c r="F95" s="15" t="s">
        <v>135</v>
      </c>
      <c r="G95" s="15" t="s">
        <v>331</v>
      </c>
      <c r="H95" s="15" t="s">
        <v>164</v>
      </c>
      <c r="I95" s="15" t="s">
        <v>521</v>
      </c>
      <c r="J95" s="17">
        <v>2</v>
      </c>
      <c r="K95" s="15" t="s">
        <v>218</v>
      </c>
      <c r="L95" s="15" t="s">
        <v>278</v>
      </c>
      <c r="M95" s="15"/>
      <c r="N95" s="15" t="s">
        <v>130</v>
      </c>
      <c r="O95" s="17">
        <v>5</v>
      </c>
      <c r="P95" s="17">
        <v>29</v>
      </c>
      <c r="Q95" s="15"/>
    </row>
    <row r="96" spans="1:17" x14ac:dyDescent="0.3">
      <c r="A96" s="15" t="s">
        <v>522</v>
      </c>
      <c r="B96" s="16">
        <v>46032</v>
      </c>
      <c r="C96" s="15" t="s">
        <v>361</v>
      </c>
      <c r="D96" s="15" t="s">
        <v>523</v>
      </c>
      <c r="E96" s="16">
        <v>45963</v>
      </c>
      <c r="F96" s="15" t="s">
        <v>498</v>
      </c>
      <c r="G96" s="15" t="s">
        <v>155</v>
      </c>
      <c r="H96" s="15" t="s">
        <v>156</v>
      </c>
      <c r="I96" s="15" t="s">
        <v>306</v>
      </c>
      <c r="J96" s="17">
        <v>1</v>
      </c>
      <c r="K96" s="15" t="s">
        <v>149</v>
      </c>
      <c r="L96" s="15" t="s">
        <v>128</v>
      </c>
      <c r="M96" s="15"/>
      <c r="N96" s="15" t="s">
        <v>279</v>
      </c>
      <c r="O96" s="15"/>
      <c r="P96" s="17">
        <v>41</v>
      </c>
      <c r="Q96" s="15" t="s">
        <v>284</v>
      </c>
    </row>
    <row r="97" spans="1:17" x14ac:dyDescent="0.3">
      <c r="A97" s="15" t="s">
        <v>524</v>
      </c>
      <c r="B97" s="16">
        <v>45927</v>
      </c>
      <c r="C97" s="15" t="s">
        <v>489</v>
      </c>
      <c r="D97" s="15" t="s">
        <v>490</v>
      </c>
      <c r="E97" s="16">
        <v>45926</v>
      </c>
      <c r="F97" s="15" t="s">
        <v>135</v>
      </c>
      <c r="G97" s="15" t="s">
        <v>199</v>
      </c>
      <c r="H97" s="15" t="s">
        <v>179</v>
      </c>
      <c r="I97" s="15" t="s">
        <v>525</v>
      </c>
      <c r="J97" s="17">
        <v>1</v>
      </c>
      <c r="K97" s="15" t="s">
        <v>218</v>
      </c>
      <c r="L97" s="15" t="s">
        <v>128</v>
      </c>
      <c r="M97" s="15" t="s">
        <v>255</v>
      </c>
      <c r="N97" s="15" t="s">
        <v>279</v>
      </c>
      <c r="O97" s="15"/>
      <c r="P97" s="17">
        <v>28</v>
      </c>
      <c r="Q97" s="15"/>
    </row>
    <row r="98" spans="1:17" x14ac:dyDescent="0.3">
      <c r="A98" s="15" t="s">
        <v>526</v>
      </c>
      <c r="B98" s="16">
        <v>45891</v>
      </c>
      <c r="C98" s="15" t="s">
        <v>527</v>
      </c>
      <c r="D98" s="15" t="s">
        <v>528</v>
      </c>
      <c r="E98" s="16">
        <v>45891</v>
      </c>
      <c r="F98" s="15" t="s">
        <v>135</v>
      </c>
      <c r="G98" s="15" t="s">
        <v>178</v>
      </c>
      <c r="H98" s="15" t="s">
        <v>179</v>
      </c>
      <c r="I98" s="15" t="s">
        <v>297</v>
      </c>
      <c r="J98" s="17">
        <v>3</v>
      </c>
      <c r="K98" s="15" t="s">
        <v>187</v>
      </c>
      <c r="L98" s="15" t="s">
        <v>159</v>
      </c>
      <c r="M98" s="15" t="s">
        <v>529</v>
      </c>
      <c r="N98" s="15" t="s">
        <v>130</v>
      </c>
      <c r="O98" s="15"/>
      <c r="P98" s="17">
        <v>32</v>
      </c>
      <c r="Q98" s="15"/>
    </row>
    <row r="99" spans="1:17" x14ac:dyDescent="0.3">
      <c r="A99" s="15" t="s">
        <v>530</v>
      </c>
      <c r="B99" s="16">
        <v>45911</v>
      </c>
      <c r="C99" s="15" t="s">
        <v>531</v>
      </c>
      <c r="D99" s="15" t="s">
        <v>532</v>
      </c>
      <c r="E99" s="16">
        <v>45909</v>
      </c>
      <c r="F99" s="15" t="s">
        <v>206</v>
      </c>
      <c r="G99" s="15" t="s">
        <v>216</v>
      </c>
      <c r="H99" s="15" t="s">
        <v>125</v>
      </c>
      <c r="I99" s="15" t="s">
        <v>414</v>
      </c>
      <c r="J99" s="17">
        <v>1</v>
      </c>
      <c r="K99" s="15" t="s">
        <v>298</v>
      </c>
      <c r="L99" s="15" t="s">
        <v>128</v>
      </c>
      <c r="M99" s="15" t="s">
        <v>518</v>
      </c>
      <c r="N99" s="15" t="s">
        <v>130</v>
      </c>
      <c r="O99" s="17">
        <v>5</v>
      </c>
      <c r="P99" s="17">
        <v>38</v>
      </c>
      <c r="Q99" s="15"/>
    </row>
    <row r="100" spans="1:17" x14ac:dyDescent="0.3">
      <c r="A100" s="15" t="s">
        <v>533</v>
      </c>
      <c r="B100" s="16">
        <v>45917</v>
      </c>
      <c r="C100" s="15" t="s">
        <v>534</v>
      </c>
      <c r="D100" s="15" t="s">
        <v>431</v>
      </c>
      <c r="E100" s="16">
        <v>45917</v>
      </c>
      <c r="F100" s="15" t="s">
        <v>123</v>
      </c>
      <c r="G100" s="15" t="s">
        <v>288</v>
      </c>
      <c r="H100" s="15" t="s">
        <v>156</v>
      </c>
      <c r="I100" s="15" t="s">
        <v>389</v>
      </c>
      <c r="J100" s="17">
        <v>1</v>
      </c>
      <c r="K100" s="15" t="s">
        <v>290</v>
      </c>
      <c r="L100" s="15" t="s">
        <v>159</v>
      </c>
      <c r="M100" s="15"/>
      <c r="N100" s="15" t="s">
        <v>279</v>
      </c>
      <c r="O100" s="15"/>
      <c r="P100" s="17">
        <v>46</v>
      </c>
      <c r="Q100" s="15"/>
    </row>
    <row r="101" spans="1:17" x14ac:dyDescent="0.3">
      <c r="A101" s="15" t="s">
        <v>535</v>
      </c>
      <c r="B101" s="16">
        <v>45966</v>
      </c>
      <c r="C101" s="15" t="s">
        <v>536</v>
      </c>
      <c r="D101" s="15" t="s">
        <v>537</v>
      </c>
      <c r="E101" s="16">
        <v>45966</v>
      </c>
      <c r="F101" s="15" t="s">
        <v>170</v>
      </c>
      <c r="G101" s="15" t="s">
        <v>538</v>
      </c>
      <c r="H101" s="15" t="s">
        <v>351</v>
      </c>
      <c r="I101" s="15" t="s">
        <v>539</v>
      </c>
      <c r="J101" s="17">
        <v>4</v>
      </c>
      <c r="K101" s="15" t="s">
        <v>173</v>
      </c>
      <c r="L101" s="15" t="s">
        <v>140</v>
      </c>
      <c r="M101" s="15" t="s">
        <v>182</v>
      </c>
      <c r="N101" s="15" t="s">
        <v>130</v>
      </c>
      <c r="O101" s="17">
        <v>2</v>
      </c>
      <c r="P101" s="17">
        <v>58</v>
      </c>
      <c r="Q101" s="15"/>
    </row>
    <row r="102" spans="1:17" x14ac:dyDescent="0.3">
      <c r="A102" s="15" t="s">
        <v>540</v>
      </c>
      <c r="B102" s="16">
        <v>45992</v>
      </c>
      <c r="C102" s="15" t="s">
        <v>384</v>
      </c>
      <c r="D102" s="15" t="s">
        <v>541</v>
      </c>
      <c r="E102" s="16">
        <v>45910</v>
      </c>
      <c r="F102" s="15" t="s">
        <v>145</v>
      </c>
      <c r="G102" s="15" t="s">
        <v>245</v>
      </c>
      <c r="H102" s="15" t="s">
        <v>233</v>
      </c>
      <c r="I102" s="15" t="s">
        <v>542</v>
      </c>
      <c r="J102" s="17">
        <v>2</v>
      </c>
      <c r="K102" s="15" t="s">
        <v>149</v>
      </c>
      <c r="L102" s="15" t="s">
        <v>247</v>
      </c>
      <c r="M102" s="15"/>
      <c r="N102" s="15" t="s">
        <v>130</v>
      </c>
      <c r="O102" s="17">
        <v>3</v>
      </c>
      <c r="P102" s="17">
        <v>56</v>
      </c>
      <c r="Q102" s="15"/>
    </row>
    <row r="103" spans="1:17" x14ac:dyDescent="0.3">
      <c r="A103" s="15" t="s">
        <v>543</v>
      </c>
      <c r="B103" s="16">
        <v>45921</v>
      </c>
      <c r="C103" s="15" t="s">
        <v>161</v>
      </c>
      <c r="D103" s="15" t="s">
        <v>544</v>
      </c>
      <c r="E103" s="16">
        <v>45743</v>
      </c>
      <c r="F103" s="15" t="s">
        <v>177</v>
      </c>
      <c r="G103" s="15" t="s">
        <v>178</v>
      </c>
      <c r="H103" s="15" t="s">
        <v>179</v>
      </c>
      <c r="I103" s="15" t="s">
        <v>421</v>
      </c>
      <c r="J103" s="17">
        <v>2</v>
      </c>
      <c r="K103" s="15" t="s">
        <v>181</v>
      </c>
      <c r="L103" s="15" t="s">
        <v>278</v>
      </c>
      <c r="M103" s="15" t="s">
        <v>188</v>
      </c>
      <c r="N103" s="15" t="s">
        <v>130</v>
      </c>
      <c r="O103" s="17">
        <v>4</v>
      </c>
      <c r="P103" s="17">
        <v>31</v>
      </c>
      <c r="Q103" s="15" t="s">
        <v>291</v>
      </c>
    </row>
    <row r="104" spans="1:17" x14ac:dyDescent="0.3">
      <c r="A104" s="15" t="s">
        <v>545</v>
      </c>
      <c r="B104" s="16">
        <v>45958</v>
      </c>
      <c r="C104" s="15" t="s">
        <v>546</v>
      </c>
      <c r="D104" s="15" t="s">
        <v>547</v>
      </c>
      <c r="E104" s="16">
        <v>45892</v>
      </c>
      <c r="F104" s="15" t="s">
        <v>145</v>
      </c>
      <c r="G104" s="15" t="s">
        <v>216</v>
      </c>
      <c r="H104" s="15" t="s">
        <v>125</v>
      </c>
      <c r="I104" s="15" t="s">
        <v>548</v>
      </c>
      <c r="J104" s="17">
        <v>2</v>
      </c>
      <c r="K104" s="15" t="s">
        <v>149</v>
      </c>
      <c r="L104" s="15" t="s">
        <v>159</v>
      </c>
      <c r="M104" s="15" t="s">
        <v>182</v>
      </c>
      <c r="N104" s="15" t="s">
        <v>130</v>
      </c>
      <c r="O104" s="17">
        <v>4</v>
      </c>
      <c r="P104" s="17">
        <v>42</v>
      </c>
      <c r="Q104" s="15"/>
    </row>
    <row r="105" spans="1:17" x14ac:dyDescent="0.3">
      <c r="A105" s="15" t="s">
        <v>549</v>
      </c>
      <c r="B105" s="16">
        <v>45952</v>
      </c>
      <c r="C105" s="15" t="s">
        <v>550</v>
      </c>
      <c r="D105" s="15" t="s">
        <v>244</v>
      </c>
      <c r="E105" s="16">
        <v>45814</v>
      </c>
      <c r="F105" s="15" t="s">
        <v>206</v>
      </c>
      <c r="G105" s="15" t="s">
        <v>171</v>
      </c>
      <c r="H105" s="15" t="s">
        <v>147</v>
      </c>
      <c r="I105" s="15" t="s">
        <v>172</v>
      </c>
      <c r="J105" s="17">
        <v>1</v>
      </c>
      <c r="K105" s="15" t="s">
        <v>358</v>
      </c>
      <c r="L105" s="15" t="s">
        <v>247</v>
      </c>
      <c r="M105" s="15"/>
      <c r="N105" s="15" t="s">
        <v>130</v>
      </c>
      <c r="O105" s="17">
        <v>5</v>
      </c>
      <c r="P105" s="17">
        <v>35</v>
      </c>
      <c r="Q105" s="15" t="s">
        <v>302</v>
      </c>
    </row>
    <row r="106" spans="1:17" x14ac:dyDescent="0.3">
      <c r="A106" s="15" t="s">
        <v>551</v>
      </c>
      <c r="B106" s="16">
        <v>46037</v>
      </c>
      <c r="C106" s="15" t="s">
        <v>552</v>
      </c>
      <c r="D106" s="15" t="s">
        <v>553</v>
      </c>
      <c r="E106" s="16">
        <v>45901</v>
      </c>
      <c r="F106" s="15" t="s">
        <v>554</v>
      </c>
      <c r="G106" s="15" t="s">
        <v>350</v>
      </c>
      <c r="H106" s="15" t="s">
        <v>351</v>
      </c>
      <c r="I106" s="15" t="s">
        <v>555</v>
      </c>
      <c r="J106" s="17">
        <v>2</v>
      </c>
      <c r="K106" s="15" t="s">
        <v>307</v>
      </c>
      <c r="L106" s="15" t="s">
        <v>159</v>
      </c>
      <c r="M106" s="15"/>
      <c r="N106" s="15" t="s">
        <v>235</v>
      </c>
      <c r="O106" s="15"/>
      <c r="P106" s="17">
        <v>49</v>
      </c>
      <c r="Q106" s="15" t="s">
        <v>280</v>
      </c>
    </row>
    <row r="107" spans="1:17" x14ac:dyDescent="0.3">
      <c r="A107" s="15" t="s">
        <v>556</v>
      </c>
      <c r="B107" s="16">
        <v>46023</v>
      </c>
      <c r="C107" s="15" t="s">
        <v>557</v>
      </c>
      <c r="D107" s="15" t="s">
        <v>558</v>
      </c>
      <c r="E107" s="16">
        <v>45895</v>
      </c>
      <c r="F107" s="15" t="s">
        <v>206</v>
      </c>
      <c r="G107" s="15" t="s">
        <v>146</v>
      </c>
      <c r="H107" s="15" t="s">
        <v>147</v>
      </c>
      <c r="I107" s="15" t="s">
        <v>559</v>
      </c>
      <c r="J107" s="17">
        <v>1</v>
      </c>
      <c r="K107" s="15" t="s">
        <v>298</v>
      </c>
      <c r="L107" s="15" t="s">
        <v>159</v>
      </c>
      <c r="M107" s="15"/>
      <c r="N107" s="15" t="s">
        <v>130</v>
      </c>
      <c r="O107" s="17">
        <v>3</v>
      </c>
      <c r="P107" s="17">
        <v>67</v>
      </c>
      <c r="Q107" s="15"/>
    </row>
    <row r="108" spans="1:17" x14ac:dyDescent="0.3">
      <c r="A108" s="15" t="s">
        <v>560</v>
      </c>
      <c r="B108" s="16">
        <v>46038</v>
      </c>
      <c r="C108" s="15" t="s">
        <v>561</v>
      </c>
      <c r="D108" s="15" t="s">
        <v>562</v>
      </c>
      <c r="E108" s="16">
        <v>45886</v>
      </c>
      <c r="F108" s="15" t="s">
        <v>259</v>
      </c>
      <c r="G108" s="15" t="s">
        <v>155</v>
      </c>
      <c r="H108" s="15" t="s">
        <v>156</v>
      </c>
      <c r="I108" s="15" t="s">
        <v>157</v>
      </c>
      <c r="J108" s="17">
        <v>2</v>
      </c>
      <c r="K108" s="15" t="s">
        <v>474</v>
      </c>
      <c r="L108" s="15" t="s">
        <v>128</v>
      </c>
      <c r="M108" s="15"/>
      <c r="N108" s="15" t="s">
        <v>130</v>
      </c>
      <c r="O108" s="17">
        <v>4</v>
      </c>
      <c r="P108" s="17">
        <v>39</v>
      </c>
      <c r="Q108" s="15"/>
    </row>
    <row r="109" spans="1:17" x14ac:dyDescent="0.3">
      <c r="A109" s="15" t="s">
        <v>563</v>
      </c>
      <c r="B109" s="16">
        <v>46005</v>
      </c>
      <c r="C109" s="15" t="s">
        <v>564</v>
      </c>
      <c r="D109" s="15" t="s">
        <v>565</v>
      </c>
      <c r="E109" s="16">
        <v>45963</v>
      </c>
      <c r="F109" s="15" t="s">
        <v>145</v>
      </c>
      <c r="G109" s="15" t="s">
        <v>199</v>
      </c>
      <c r="H109" s="15" t="s">
        <v>179</v>
      </c>
      <c r="I109" s="15" t="s">
        <v>465</v>
      </c>
      <c r="J109" s="17">
        <v>2</v>
      </c>
      <c r="K109" s="15" t="s">
        <v>149</v>
      </c>
      <c r="L109" s="15" t="s">
        <v>140</v>
      </c>
      <c r="M109" s="15" t="s">
        <v>529</v>
      </c>
      <c r="N109" s="15" t="s">
        <v>130</v>
      </c>
      <c r="O109" s="17">
        <v>5</v>
      </c>
      <c r="P109" s="17">
        <v>48</v>
      </c>
      <c r="Q109" s="15"/>
    </row>
    <row r="110" spans="1:17" x14ac:dyDescent="0.3">
      <c r="A110" s="15" t="s">
        <v>566</v>
      </c>
      <c r="B110" s="16">
        <v>45904</v>
      </c>
      <c r="C110" s="15" t="s">
        <v>511</v>
      </c>
      <c r="D110" s="15" t="s">
        <v>441</v>
      </c>
      <c r="E110" s="16">
        <v>45895</v>
      </c>
      <c r="F110" s="15" t="s">
        <v>145</v>
      </c>
      <c r="G110" s="15" t="s">
        <v>146</v>
      </c>
      <c r="H110" s="15" t="s">
        <v>147</v>
      </c>
      <c r="I110" s="15" t="s">
        <v>567</v>
      </c>
      <c r="J110" s="17">
        <v>4</v>
      </c>
      <c r="K110" s="15" t="s">
        <v>149</v>
      </c>
      <c r="L110" s="15" t="s">
        <v>159</v>
      </c>
      <c r="M110" s="15"/>
      <c r="N110" s="15" t="s">
        <v>130</v>
      </c>
      <c r="O110" s="17">
        <v>5</v>
      </c>
      <c r="P110" s="17">
        <v>50</v>
      </c>
      <c r="Q110" s="15"/>
    </row>
    <row r="111" spans="1:17" x14ac:dyDescent="0.3">
      <c r="A111" s="15" t="s">
        <v>568</v>
      </c>
      <c r="B111" s="16">
        <v>46001</v>
      </c>
      <c r="C111" s="15" t="s">
        <v>569</v>
      </c>
      <c r="D111" s="15" t="s">
        <v>570</v>
      </c>
      <c r="E111" s="16">
        <v>45961</v>
      </c>
      <c r="F111" s="15" t="s">
        <v>145</v>
      </c>
      <c r="G111" s="15" t="s">
        <v>124</v>
      </c>
      <c r="H111" s="15" t="s">
        <v>125</v>
      </c>
      <c r="I111" s="15" t="s">
        <v>571</v>
      </c>
      <c r="J111" s="17">
        <v>1</v>
      </c>
      <c r="K111" s="15" t="s">
        <v>450</v>
      </c>
      <c r="L111" s="15" t="s">
        <v>140</v>
      </c>
      <c r="M111" s="15"/>
      <c r="N111" s="15" t="s">
        <v>130</v>
      </c>
      <c r="O111" s="17">
        <v>5</v>
      </c>
      <c r="P111" s="17">
        <v>47</v>
      </c>
      <c r="Q111" s="15"/>
    </row>
    <row r="112" spans="1:17" x14ac:dyDescent="0.3">
      <c r="A112" s="15" t="s">
        <v>572</v>
      </c>
      <c r="B112" s="16">
        <v>45968</v>
      </c>
      <c r="C112" s="15" t="s">
        <v>573</v>
      </c>
      <c r="D112" s="15" t="s">
        <v>388</v>
      </c>
      <c r="E112" s="16">
        <v>45957</v>
      </c>
      <c r="F112" s="15" t="s">
        <v>170</v>
      </c>
      <c r="G112" s="15" t="s">
        <v>538</v>
      </c>
      <c r="H112" s="15" t="s">
        <v>351</v>
      </c>
      <c r="I112" s="15" t="s">
        <v>352</v>
      </c>
      <c r="J112" s="17">
        <v>2</v>
      </c>
      <c r="K112" s="15" t="s">
        <v>173</v>
      </c>
      <c r="L112" s="15" t="s">
        <v>128</v>
      </c>
      <c r="M112" s="15"/>
      <c r="N112" s="15" t="s">
        <v>130</v>
      </c>
      <c r="O112" s="17">
        <v>4</v>
      </c>
      <c r="P112" s="17">
        <v>52</v>
      </c>
      <c r="Q112" s="15" t="s">
        <v>131</v>
      </c>
    </row>
    <row r="113" spans="1:17" x14ac:dyDescent="0.3">
      <c r="A113" s="15" t="s">
        <v>574</v>
      </c>
      <c r="B113" s="16">
        <v>46036</v>
      </c>
      <c r="C113" s="15" t="s">
        <v>175</v>
      </c>
      <c r="D113" s="15" t="s">
        <v>575</v>
      </c>
      <c r="E113" s="16">
        <v>45959</v>
      </c>
      <c r="F113" s="15" t="s">
        <v>198</v>
      </c>
      <c r="G113" s="15" t="s">
        <v>163</v>
      </c>
      <c r="H113" s="15" t="s">
        <v>164</v>
      </c>
      <c r="I113" s="15" t="s">
        <v>393</v>
      </c>
      <c r="J113" s="17">
        <v>2</v>
      </c>
      <c r="K113" s="15" t="s">
        <v>213</v>
      </c>
      <c r="L113" s="15" t="s">
        <v>140</v>
      </c>
      <c r="M113" s="15"/>
      <c r="N113" s="15" t="s">
        <v>130</v>
      </c>
      <c r="O113" s="17">
        <v>4</v>
      </c>
      <c r="P113" s="17">
        <v>35</v>
      </c>
      <c r="Q113" s="15"/>
    </row>
    <row r="114" spans="1:17" x14ac:dyDescent="0.3">
      <c r="A114" s="15" t="s">
        <v>576</v>
      </c>
      <c r="B114" s="16">
        <v>45981</v>
      </c>
      <c r="C114" s="15" t="s">
        <v>455</v>
      </c>
      <c r="D114" s="15" t="s">
        <v>456</v>
      </c>
      <c r="E114" s="16">
        <v>45966</v>
      </c>
      <c r="F114" s="15" t="s">
        <v>135</v>
      </c>
      <c r="G114" s="15" t="s">
        <v>339</v>
      </c>
      <c r="H114" s="15" t="s">
        <v>233</v>
      </c>
      <c r="I114" s="15" t="s">
        <v>276</v>
      </c>
      <c r="J114" s="17">
        <v>1</v>
      </c>
      <c r="K114" s="15" t="s">
        <v>187</v>
      </c>
      <c r="L114" s="15" t="s">
        <v>128</v>
      </c>
      <c r="M114" s="15" t="s">
        <v>182</v>
      </c>
      <c r="N114" s="15" t="s">
        <v>130</v>
      </c>
      <c r="O114" s="17">
        <v>5</v>
      </c>
      <c r="P114" s="17">
        <v>30</v>
      </c>
      <c r="Q114" s="15" t="s">
        <v>291</v>
      </c>
    </row>
    <row r="115" spans="1:17" x14ac:dyDescent="0.3">
      <c r="A115" s="15" t="s">
        <v>577</v>
      </c>
      <c r="B115" s="16">
        <v>45937</v>
      </c>
      <c r="C115" s="15" t="s">
        <v>578</v>
      </c>
      <c r="D115" s="15" t="s">
        <v>579</v>
      </c>
      <c r="E115" s="16">
        <v>45926</v>
      </c>
      <c r="F115" s="15" t="s">
        <v>206</v>
      </c>
      <c r="G115" s="15" t="s">
        <v>216</v>
      </c>
      <c r="H115" s="15" t="s">
        <v>125</v>
      </c>
      <c r="I115" s="15" t="s">
        <v>571</v>
      </c>
      <c r="J115" s="17">
        <v>1</v>
      </c>
      <c r="K115" s="15" t="s">
        <v>353</v>
      </c>
      <c r="L115" s="15" t="s">
        <v>247</v>
      </c>
      <c r="M115" s="15" t="s">
        <v>188</v>
      </c>
      <c r="N115" s="15" t="s">
        <v>235</v>
      </c>
      <c r="O115" s="15"/>
      <c r="P115" s="17">
        <v>51</v>
      </c>
      <c r="Q115" s="15"/>
    </row>
    <row r="116" spans="1:17" x14ac:dyDescent="0.3">
      <c r="A116" s="15" t="s">
        <v>580</v>
      </c>
      <c r="B116" s="16">
        <v>45882</v>
      </c>
      <c r="C116" s="15" t="s">
        <v>581</v>
      </c>
      <c r="D116" s="15" t="s">
        <v>244</v>
      </c>
      <c r="E116" s="16">
        <v>45814</v>
      </c>
      <c r="F116" s="15" t="s">
        <v>170</v>
      </c>
      <c r="G116" s="15" t="s">
        <v>199</v>
      </c>
      <c r="H116" s="15" t="s">
        <v>179</v>
      </c>
      <c r="I116" s="15" t="s">
        <v>582</v>
      </c>
      <c r="J116" s="17">
        <v>2</v>
      </c>
      <c r="K116" s="15" t="s">
        <v>173</v>
      </c>
      <c r="L116" s="15" t="s">
        <v>159</v>
      </c>
      <c r="M116" s="15"/>
      <c r="N116" s="15" t="s">
        <v>130</v>
      </c>
      <c r="O116" s="17">
        <v>3</v>
      </c>
      <c r="P116" s="17">
        <v>58</v>
      </c>
      <c r="Q116" s="15"/>
    </row>
    <row r="117" spans="1:17" x14ac:dyDescent="0.3">
      <c r="A117" s="15" t="s">
        <v>583</v>
      </c>
      <c r="B117" s="16">
        <v>46006</v>
      </c>
      <c r="C117" s="15" t="s">
        <v>584</v>
      </c>
      <c r="D117" s="15" t="s">
        <v>585</v>
      </c>
      <c r="E117" s="16">
        <v>45909</v>
      </c>
      <c r="F117" s="15" t="s">
        <v>198</v>
      </c>
      <c r="G117" s="15" t="s">
        <v>155</v>
      </c>
      <c r="H117" s="15" t="s">
        <v>156</v>
      </c>
      <c r="I117" s="15" t="s">
        <v>317</v>
      </c>
      <c r="J117" s="17">
        <v>4</v>
      </c>
      <c r="K117" s="15" t="s">
        <v>213</v>
      </c>
      <c r="L117" s="15" t="s">
        <v>159</v>
      </c>
      <c r="M117" s="15"/>
      <c r="N117" s="15" t="s">
        <v>130</v>
      </c>
      <c r="O117" s="17">
        <v>4</v>
      </c>
      <c r="P117" s="17">
        <v>10</v>
      </c>
      <c r="Q117" s="15" t="s">
        <v>302</v>
      </c>
    </row>
    <row r="118" spans="1:17" x14ac:dyDescent="0.3">
      <c r="A118" s="15" t="s">
        <v>586</v>
      </c>
      <c r="B118" s="16">
        <v>45953</v>
      </c>
      <c r="C118" s="15" t="s">
        <v>587</v>
      </c>
      <c r="D118" s="15" t="s">
        <v>588</v>
      </c>
      <c r="E118" s="16">
        <v>45952</v>
      </c>
      <c r="F118" s="15" t="s">
        <v>206</v>
      </c>
      <c r="G118" s="15" t="s">
        <v>288</v>
      </c>
      <c r="H118" s="15" t="s">
        <v>156</v>
      </c>
      <c r="I118" s="15" t="s">
        <v>157</v>
      </c>
      <c r="J118" s="17">
        <v>1</v>
      </c>
      <c r="K118" s="15" t="s">
        <v>208</v>
      </c>
      <c r="L118" s="15" t="s">
        <v>128</v>
      </c>
      <c r="M118" s="15"/>
      <c r="N118" s="15" t="s">
        <v>235</v>
      </c>
      <c r="O118" s="15"/>
      <c r="P118" s="17">
        <v>27</v>
      </c>
      <c r="Q118" s="15"/>
    </row>
    <row r="119" spans="1:17" x14ac:dyDescent="0.3">
      <c r="A119" s="15" t="s">
        <v>589</v>
      </c>
      <c r="B119" s="16">
        <v>46014</v>
      </c>
      <c r="C119" s="15" t="s">
        <v>590</v>
      </c>
      <c r="D119" s="15" t="s">
        <v>591</v>
      </c>
      <c r="E119" s="16">
        <v>46013</v>
      </c>
      <c r="F119" s="15" t="s">
        <v>177</v>
      </c>
      <c r="G119" s="15" t="s">
        <v>339</v>
      </c>
      <c r="H119" s="15" t="s">
        <v>233</v>
      </c>
      <c r="I119" s="15" t="s">
        <v>301</v>
      </c>
      <c r="J119" s="17">
        <v>1</v>
      </c>
      <c r="K119" s="15" t="s">
        <v>181</v>
      </c>
      <c r="L119" s="15" t="s">
        <v>128</v>
      </c>
      <c r="M119" s="15"/>
      <c r="N119" s="15" t="s">
        <v>130</v>
      </c>
      <c r="O119" s="17">
        <v>4</v>
      </c>
      <c r="P119" s="17">
        <v>34</v>
      </c>
      <c r="Q119" s="15" t="s">
        <v>141</v>
      </c>
    </row>
    <row r="120" spans="1:17" x14ac:dyDescent="0.3">
      <c r="A120" s="15" t="s">
        <v>592</v>
      </c>
      <c r="B120" s="16">
        <v>45887</v>
      </c>
      <c r="C120" s="15" t="s">
        <v>561</v>
      </c>
      <c r="D120" s="15" t="s">
        <v>562</v>
      </c>
      <c r="E120" s="16">
        <v>45886</v>
      </c>
      <c r="F120" s="15" t="s">
        <v>135</v>
      </c>
      <c r="G120" s="15" t="s">
        <v>136</v>
      </c>
      <c r="H120" s="15" t="s">
        <v>137</v>
      </c>
      <c r="I120" s="15" t="s">
        <v>593</v>
      </c>
      <c r="J120" s="17">
        <v>3</v>
      </c>
      <c r="K120" s="15" t="s">
        <v>277</v>
      </c>
      <c r="L120" s="15" t="s">
        <v>128</v>
      </c>
      <c r="M120" s="15"/>
      <c r="N120" s="15" t="s">
        <v>235</v>
      </c>
      <c r="O120" s="15"/>
      <c r="P120" s="17">
        <v>23</v>
      </c>
      <c r="Q120" s="15" t="s">
        <v>359</v>
      </c>
    </row>
    <row r="121" spans="1:17" x14ac:dyDescent="0.3">
      <c r="A121" s="15" t="s">
        <v>594</v>
      </c>
      <c r="B121" s="16">
        <v>46039</v>
      </c>
      <c r="C121" s="15" t="s">
        <v>595</v>
      </c>
      <c r="D121" s="15" t="s">
        <v>405</v>
      </c>
      <c r="E121" s="16">
        <v>45953</v>
      </c>
      <c r="F121" s="15" t="s">
        <v>198</v>
      </c>
      <c r="G121" s="15" t="s">
        <v>155</v>
      </c>
      <c r="H121" s="15" t="s">
        <v>156</v>
      </c>
      <c r="I121" s="15" t="s">
        <v>317</v>
      </c>
      <c r="J121" s="17">
        <v>1</v>
      </c>
      <c r="K121" s="15" t="s">
        <v>213</v>
      </c>
      <c r="L121" s="15" t="s">
        <v>159</v>
      </c>
      <c r="M121" s="15"/>
      <c r="N121" s="15" t="s">
        <v>130</v>
      </c>
      <c r="O121" s="17">
        <v>4</v>
      </c>
      <c r="P121" s="17">
        <v>32</v>
      </c>
      <c r="Q121" s="15" t="s">
        <v>202</v>
      </c>
    </row>
    <row r="122" spans="1:17" x14ac:dyDescent="0.3">
      <c r="A122" s="15" t="s">
        <v>596</v>
      </c>
      <c r="B122" s="16">
        <v>45976</v>
      </c>
      <c r="C122" s="15" t="s">
        <v>597</v>
      </c>
      <c r="D122" s="15" t="s">
        <v>598</v>
      </c>
      <c r="E122" s="16">
        <v>45904</v>
      </c>
      <c r="F122" s="15" t="s">
        <v>206</v>
      </c>
      <c r="G122" s="15" t="s">
        <v>538</v>
      </c>
      <c r="H122" s="15" t="s">
        <v>351</v>
      </c>
      <c r="I122" s="15" t="s">
        <v>352</v>
      </c>
      <c r="J122" s="17">
        <v>2</v>
      </c>
      <c r="K122" s="15" t="s">
        <v>353</v>
      </c>
      <c r="L122" s="15" t="s">
        <v>247</v>
      </c>
      <c r="M122" s="15"/>
      <c r="N122" s="15"/>
      <c r="O122" s="17">
        <v>5</v>
      </c>
      <c r="P122" s="17">
        <v>33</v>
      </c>
      <c r="Q122" s="15" t="s">
        <v>291</v>
      </c>
    </row>
    <row r="123" spans="1:17" x14ac:dyDescent="0.3">
      <c r="A123" s="15" t="s">
        <v>599</v>
      </c>
      <c r="B123" s="16">
        <v>45963</v>
      </c>
      <c r="C123" s="15" t="s">
        <v>600</v>
      </c>
      <c r="D123" s="15" t="s">
        <v>565</v>
      </c>
      <c r="E123" s="16">
        <v>45963</v>
      </c>
      <c r="F123" s="15" t="s">
        <v>123</v>
      </c>
      <c r="G123" s="15" t="s">
        <v>331</v>
      </c>
      <c r="H123" s="15" t="s">
        <v>164</v>
      </c>
      <c r="I123" s="15" t="s">
        <v>517</v>
      </c>
      <c r="J123" s="17">
        <v>2</v>
      </c>
      <c r="K123" s="15" t="s">
        <v>166</v>
      </c>
      <c r="L123" s="15" t="s">
        <v>159</v>
      </c>
      <c r="M123" s="15" t="s">
        <v>182</v>
      </c>
      <c r="N123" s="15" t="s">
        <v>130</v>
      </c>
      <c r="O123" s="17">
        <v>5</v>
      </c>
      <c r="P123" s="17">
        <v>36</v>
      </c>
      <c r="Q123" s="15" t="s">
        <v>291</v>
      </c>
    </row>
    <row r="124" spans="1:17" x14ac:dyDescent="0.3">
      <c r="A124" s="15" t="s">
        <v>601</v>
      </c>
      <c r="B124" s="16">
        <v>45974</v>
      </c>
      <c r="C124" s="15" t="s">
        <v>602</v>
      </c>
      <c r="D124" s="15" t="s">
        <v>603</v>
      </c>
      <c r="E124" s="16">
        <v>45966</v>
      </c>
      <c r="F124" s="15" t="s">
        <v>198</v>
      </c>
      <c r="G124" s="15" t="s">
        <v>232</v>
      </c>
      <c r="H124" s="15" t="s">
        <v>233</v>
      </c>
      <c r="I124" s="15" t="s">
        <v>234</v>
      </c>
      <c r="J124" s="17">
        <v>2</v>
      </c>
      <c r="K124" s="15" t="s">
        <v>201</v>
      </c>
      <c r="L124" s="15" t="s">
        <v>159</v>
      </c>
      <c r="M124" s="15" t="s">
        <v>255</v>
      </c>
      <c r="N124" s="15" t="s">
        <v>130</v>
      </c>
      <c r="O124" s="17">
        <v>5</v>
      </c>
      <c r="P124" s="17">
        <v>34</v>
      </c>
      <c r="Q124" s="15" t="s">
        <v>291</v>
      </c>
    </row>
    <row r="125" spans="1:17" x14ac:dyDescent="0.3">
      <c r="A125" s="15" t="s">
        <v>604</v>
      </c>
      <c r="B125" s="16">
        <v>45884</v>
      </c>
      <c r="C125" s="15" t="s">
        <v>605</v>
      </c>
      <c r="D125" s="15" t="s">
        <v>606</v>
      </c>
      <c r="E125" s="16">
        <v>45787</v>
      </c>
      <c r="F125" s="15" t="s">
        <v>135</v>
      </c>
      <c r="G125" s="15" t="s">
        <v>538</v>
      </c>
      <c r="H125" s="15" t="s">
        <v>351</v>
      </c>
      <c r="I125" s="15" t="s">
        <v>352</v>
      </c>
      <c r="J125" s="17">
        <v>1</v>
      </c>
      <c r="K125" s="15" t="s">
        <v>139</v>
      </c>
      <c r="L125" s="15" t="s">
        <v>159</v>
      </c>
      <c r="M125" s="15"/>
      <c r="N125" s="15" t="s">
        <v>130</v>
      </c>
      <c r="O125" s="17">
        <v>5</v>
      </c>
      <c r="P125" s="17">
        <v>26</v>
      </c>
      <c r="Q125" s="15"/>
    </row>
    <row r="126" spans="1:17" x14ac:dyDescent="0.3">
      <c r="A126" s="15" t="s">
        <v>607</v>
      </c>
      <c r="B126" s="16">
        <v>46037</v>
      </c>
      <c r="C126" s="15" t="s">
        <v>608</v>
      </c>
      <c r="D126" s="15" t="s">
        <v>448</v>
      </c>
      <c r="E126" s="16">
        <v>45889</v>
      </c>
      <c r="F126" s="15" t="s">
        <v>206</v>
      </c>
      <c r="G126" s="15" t="s">
        <v>171</v>
      </c>
      <c r="H126" s="15" t="s">
        <v>147</v>
      </c>
      <c r="I126" s="15" t="s">
        <v>559</v>
      </c>
      <c r="J126" s="17">
        <v>1</v>
      </c>
      <c r="K126" s="15" t="s">
        <v>298</v>
      </c>
      <c r="L126" s="15" t="s">
        <v>140</v>
      </c>
      <c r="M126" s="15"/>
      <c r="N126" s="15" t="s">
        <v>130</v>
      </c>
      <c r="O126" s="17">
        <v>5</v>
      </c>
      <c r="P126" s="17">
        <v>40</v>
      </c>
      <c r="Q126" s="15" t="s">
        <v>141</v>
      </c>
    </row>
    <row r="127" spans="1:17" x14ac:dyDescent="0.3">
      <c r="A127" s="15" t="s">
        <v>609</v>
      </c>
      <c r="B127" s="16">
        <v>46010</v>
      </c>
      <c r="C127" s="15" t="s">
        <v>610</v>
      </c>
      <c r="D127" s="15" t="s">
        <v>611</v>
      </c>
      <c r="E127" s="16">
        <v>45916</v>
      </c>
      <c r="F127" s="15" t="s">
        <v>135</v>
      </c>
      <c r="G127" s="15" t="s">
        <v>199</v>
      </c>
      <c r="H127" s="15" t="s">
        <v>179</v>
      </c>
      <c r="I127" s="15" t="s">
        <v>180</v>
      </c>
      <c r="J127" s="17">
        <v>1</v>
      </c>
      <c r="K127" s="15" t="s">
        <v>265</v>
      </c>
      <c r="L127" s="15" t="s">
        <v>128</v>
      </c>
      <c r="M127" s="15" t="s">
        <v>518</v>
      </c>
      <c r="N127" s="15" t="s">
        <v>235</v>
      </c>
      <c r="O127" s="15"/>
      <c r="P127" s="17">
        <v>32</v>
      </c>
      <c r="Q127" s="15"/>
    </row>
    <row r="128" spans="1:17" x14ac:dyDescent="0.3">
      <c r="A128" s="15" t="s">
        <v>612</v>
      </c>
      <c r="B128" s="16">
        <v>45955</v>
      </c>
      <c r="C128" s="15" t="s">
        <v>613</v>
      </c>
      <c r="D128" s="15" t="s">
        <v>614</v>
      </c>
      <c r="E128" s="16">
        <v>45940</v>
      </c>
      <c r="F128" s="15" t="s">
        <v>198</v>
      </c>
      <c r="G128" s="15" t="s">
        <v>155</v>
      </c>
      <c r="H128" s="15" t="s">
        <v>156</v>
      </c>
      <c r="I128" s="15" t="s">
        <v>389</v>
      </c>
      <c r="J128" s="17">
        <v>2</v>
      </c>
      <c r="K128" s="15" t="s">
        <v>251</v>
      </c>
      <c r="L128" s="15" t="s">
        <v>128</v>
      </c>
      <c r="M128" s="15" t="s">
        <v>240</v>
      </c>
      <c r="N128" s="15" t="s">
        <v>130</v>
      </c>
      <c r="O128" s="17">
        <v>4</v>
      </c>
      <c r="P128" s="17">
        <v>24</v>
      </c>
      <c r="Q128" s="15"/>
    </row>
    <row r="129" spans="1:17" x14ac:dyDescent="0.3">
      <c r="A129" s="15" t="s">
        <v>615</v>
      </c>
      <c r="B129" s="16">
        <v>45966</v>
      </c>
      <c r="C129" s="15" t="s">
        <v>152</v>
      </c>
      <c r="D129" s="15" t="s">
        <v>153</v>
      </c>
      <c r="E129" s="16">
        <v>45916</v>
      </c>
      <c r="F129" s="15" t="s">
        <v>397</v>
      </c>
      <c r="G129" s="15" t="s">
        <v>178</v>
      </c>
      <c r="H129" s="15" t="s">
        <v>179</v>
      </c>
      <c r="I129" s="15" t="s">
        <v>297</v>
      </c>
      <c r="J129" s="17">
        <v>2</v>
      </c>
      <c r="K129" s="15" t="s">
        <v>223</v>
      </c>
      <c r="L129" s="15" t="s">
        <v>128</v>
      </c>
      <c r="M129" s="15" t="s">
        <v>182</v>
      </c>
      <c r="N129" s="15" t="s">
        <v>130</v>
      </c>
      <c r="O129" s="17">
        <v>5</v>
      </c>
      <c r="P129" s="17">
        <v>27</v>
      </c>
      <c r="Q129" s="15" t="s">
        <v>141</v>
      </c>
    </row>
    <row r="130" spans="1:17" x14ac:dyDescent="0.3">
      <c r="A130" s="15" t="s">
        <v>616</v>
      </c>
      <c r="B130" s="16">
        <v>46038</v>
      </c>
      <c r="C130" s="15" t="s">
        <v>617</v>
      </c>
      <c r="D130" s="15" t="s">
        <v>287</v>
      </c>
      <c r="E130" s="16">
        <v>45918</v>
      </c>
      <c r="F130" s="15" t="s">
        <v>177</v>
      </c>
      <c r="G130" s="15" t="s">
        <v>245</v>
      </c>
      <c r="H130" s="15" t="s">
        <v>233</v>
      </c>
      <c r="I130" s="15" t="s">
        <v>499</v>
      </c>
      <c r="J130" s="17">
        <v>3</v>
      </c>
      <c r="K130" s="15" t="s">
        <v>181</v>
      </c>
      <c r="L130" s="15" t="s">
        <v>159</v>
      </c>
      <c r="M130" s="15" t="s">
        <v>518</v>
      </c>
      <c r="N130" s="15" t="s">
        <v>130</v>
      </c>
      <c r="O130" s="17">
        <v>5</v>
      </c>
      <c r="P130" s="17">
        <v>31</v>
      </c>
      <c r="Q130" s="15"/>
    </row>
    <row r="131" spans="1:17" x14ac:dyDescent="0.3">
      <c r="A131" s="15" t="s">
        <v>618</v>
      </c>
      <c r="B131" s="16">
        <v>45954</v>
      </c>
      <c r="C131" s="15" t="s">
        <v>619</v>
      </c>
      <c r="D131" s="15" t="s">
        <v>620</v>
      </c>
      <c r="E131" s="16">
        <v>45700</v>
      </c>
      <c r="F131" s="15" t="s">
        <v>198</v>
      </c>
      <c r="G131" s="15" t="s">
        <v>171</v>
      </c>
      <c r="H131" s="15" t="s">
        <v>147</v>
      </c>
      <c r="I131" s="15" t="s">
        <v>621</v>
      </c>
      <c r="J131" s="17">
        <v>1</v>
      </c>
      <c r="K131" s="15" t="s">
        <v>213</v>
      </c>
      <c r="L131" s="15" t="s">
        <v>140</v>
      </c>
      <c r="M131" s="15"/>
      <c r="N131" s="15" t="s">
        <v>130</v>
      </c>
      <c r="O131" s="17">
        <v>5</v>
      </c>
      <c r="P131" s="17">
        <v>14</v>
      </c>
      <c r="Q131" s="15"/>
    </row>
    <row r="132" spans="1:17" x14ac:dyDescent="0.3">
      <c r="A132" s="15" t="s">
        <v>622</v>
      </c>
      <c r="B132" s="16">
        <v>45969</v>
      </c>
      <c r="C132" s="15" t="s">
        <v>623</v>
      </c>
      <c r="D132" s="15" t="s">
        <v>624</v>
      </c>
      <c r="E132" s="16">
        <v>45880</v>
      </c>
      <c r="F132" s="15" t="s">
        <v>259</v>
      </c>
      <c r="G132" s="15" t="s">
        <v>178</v>
      </c>
      <c r="H132" s="15" t="s">
        <v>179</v>
      </c>
      <c r="I132" s="15" t="s">
        <v>406</v>
      </c>
      <c r="J132" s="17">
        <v>1</v>
      </c>
      <c r="K132" s="15" t="s">
        <v>474</v>
      </c>
      <c r="L132" s="15" t="s">
        <v>159</v>
      </c>
      <c r="M132" s="15" t="s">
        <v>129</v>
      </c>
      <c r="N132" s="15" t="s">
        <v>130</v>
      </c>
      <c r="O132" s="17">
        <v>4</v>
      </c>
      <c r="P132" s="17">
        <v>52</v>
      </c>
      <c r="Q132" s="15"/>
    </row>
    <row r="133" spans="1:17" x14ac:dyDescent="0.3">
      <c r="A133" s="15" t="s">
        <v>625</v>
      </c>
      <c r="B133" s="16">
        <v>45973</v>
      </c>
      <c r="C133" s="15" t="s">
        <v>626</v>
      </c>
      <c r="D133" s="15" t="s">
        <v>272</v>
      </c>
      <c r="E133" s="16">
        <v>45873</v>
      </c>
      <c r="F133" s="15" t="s">
        <v>401</v>
      </c>
      <c r="G133" s="15" t="s">
        <v>178</v>
      </c>
      <c r="H133" s="15" t="s">
        <v>179</v>
      </c>
      <c r="I133" s="15" t="s">
        <v>180</v>
      </c>
      <c r="J133" s="17">
        <v>2</v>
      </c>
      <c r="K133" s="15" t="s">
        <v>223</v>
      </c>
      <c r="L133" s="15" t="s">
        <v>159</v>
      </c>
      <c r="M133" s="15"/>
      <c r="N133" s="15" t="s">
        <v>130</v>
      </c>
      <c r="O133" s="17">
        <v>4</v>
      </c>
      <c r="P133" s="17">
        <v>34</v>
      </c>
      <c r="Q133" s="15"/>
    </row>
    <row r="134" spans="1:17" x14ac:dyDescent="0.3">
      <c r="A134" s="15" t="s">
        <v>627</v>
      </c>
      <c r="B134" s="16">
        <v>45956</v>
      </c>
      <c r="C134" s="15" t="s">
        <v>483</v>
      </c>
      <c r="D134" s="15" t="s">
        <v>628</v>
      </c>
      <c r="E134" s="16">
        <v>45956</v>
      </c>
      <c r="F134" s="15" t="s">
        <v>135</v>
      </c>
      <c r="G134" s="15" t="s">
        <v>199</v>
      </c>
      <c r="H134" s="15" t="s">
        <v>179</v>
      </c>
      <c r="I134" s="15" t="s">
        <v>629</v>
      </c>
      <c r="J134" s="17">
        <v>2</v>
      </c>
      <c r="K134" s="15" t="s">
        <v>223</v>
      </c>
      <c r="L134" s="15" t="s">
        <v>128</v>
      </c>
      <c r="M134" s="15" t="s">
        <v>182</v>
      </c>
      <c r="N134" s="15" t="s">
        <v>130</v>
      </c>
      <c r="O134" s="17">
        <v>5</v>
      </c>
      <c r="P134" s="17">
        <v>24</v>
      </c>
      <c r="Q134" s="15" t="s">
        <v>141</v>
      </c>
    </row>
    <row r="135" spans="1:17" x14ac:dyDescent="0.3">
      <c r="A135" s="15" t="s">
        <v>630</v>
      </c>
      <c r="B135" s="16">
        <v>45994</v>
      </c>
      <c r="C135" s="15" t="s">
        <v>631</v>
      </c>
      <c r="D135" s="15" t="s">
        <v>348</v>
      </c>
      <c r="E135" s="16">
        <v>45897</v>
      </c>
      <c r="F135" s="15" t="s">
        <v>135</v>
      </c>
      <c r="G135" s="15" t="s">
        <v>339</v>
      </c>
      <c r="H135" s="15" t="s">
        <v>233</v>
      </c>
      <c r="I135" s="15" t="s">
        <v>276</v>
      </c>
      <c r="J135" s="17">
        <v>2</v>
      </c>
      <c r="K135" s="15" t="s">
        <v>277</v>
      </c>
      <c r="L135" s="15" t="s">
        <v>140</v>
      </c>
      <c r="M135" s="15"/>
      <c r="N135" s="15" t="s">
        <v>130</v>
      </c>
      <c r="O135" s="17">
        <v>5</v>
      </c>
      <c r="P135" s="17">
        <v>28</v>
      </c>
      <c r="Q135" s="15"/>
    </row>
    <row r="136" spans="1:17" x14ac:dyDescent="0.3">
      <c r="A136" s="15" t="s">
        <v>632</v>
      </c>
      <c r="B136" s="16">
        <v>45967</v>
      </c>
      <c r="C136" s="15" t="s">
        <v>444</v>
      </c>
      <c r="D136" s="15" t="s">
        <v>445</v>
      </c>
      <c r="E136" s="16">
        <v>45947</v>
      </c>
      <c r="F136" s="15" t="s">
        <v>413</v>
      </c>
      <c r="G136" s="15" t="s">
        <v>178</v>
      </c>
      <c r="H136" s="15" t="s">
        <v>179</v>
      </c>
      <c r="I136" s="15" t="s">
        <v>453</v>
      </c>
      <c r="J136" s="17">
        <v>3</v>
      </c>
      <c r="K136" s="15" t="s">
        <v>139</v>
      </c>
      <c r="L136" s="15" t="s">
        <v>128</v>
      </c>
      <c r="M136" s="15" t="s">
        <v>182</v>
      </c>
      <c r="N136" s="15" t="s">
        <v>235</v>
      </c>
      <c r="O136" s="15"/>
      <c r="P136" s="17">
        <v>30</v>
      </c>
      <c r="Q136" s="15"/>
    </row>
    <row r="137" spans="1:17" x14ac:dyDescent="0.3">
      <c r="A137" s="15" t="s">
        <v>633</v>
      </c>
      <c r="B137" s="16">
        <v>45948</v>
      </c>
      <c r="C137" s="15" t="s">
        <v>355</v>
      </c>
      <c r="D137" s="15" t="s">
        <v>356</v>
      </c>
      <c r="E137" s="16">
        <v>45911</v>
      </c>
      <c r="F137" s="15" t="s">
        <v>401</v>
      </c>
      <c r="G137" s="15" t="s">
        <v>288</v>
      </c>
      <c r="H137" s="15" t="s">
        <v>156</v>
      </c>
      <c r="I137" s="15" t="s">
        <v>157</v>
      </c>
      <c r="J137" s="17">
        <v>1</v>
      </c>
      <c r="K137" s="15" t="s">
        <v>223</v>
      </c>
      <c r="L137" s="15" t="s">
        <v>128</v>
      </c>
      <c r="M137" s="15" t="s">
        <v>188</v>
      </c>
      <c r="N137" s="15" t="s">
        <v>130</v>
      </c>
      <c r="O137" s="17">
        <v>4</v>
      </c>
      <c r="P137" s="17">
        <v>33</v>
      </c>
      <c r="Q137" s="15"/>
    </row>
    <row r="138" spans="1:17" x14ac:dyDescent="0.3">
      <c r="A138" s="15" t="s">
        <v>634</v>
      </c>
      <c r="B138" s="16">
        <v>45954</v>
      </c>
      <c r="C138" s="15" t="s">
        <v>184</v>
      </c>
      <c r="D138" s="15" t="s">
        <v>635</v>
      </c>
      <c r="E138" s="16">
        <v>45909</v>
      </c>
      <c r="F138" s="15" t="s">
        <v>259</v>
      </c>
      <c r="G138" s="15" t="s">
        <v>178</v>
      </c>
      <c r="H138" s="15" t="s">
        <v>179</v>
      </c>
      <c r="I138" s="15" t="s">
        <v>180</v>
      </c>
      <c r="J138" s="17">
        <v>1</v>
      </c>
      <c r="K138" s="15" t="s">
        <v>260</v>
      </c>
      <c r="L138" s="15" t="s">
        <v>140</v>
      </c>
      <c r="M138" s="15" t="s">
        <v>188</v>
      </c>
      <c r="N138" s="15" t="s">
        <v>130</v>
      </c>
      <c r="O138" s="17">
        <v>3</v>
      </c>
      <c r="P138" s="17">
        <v>57</v>
      </c>
      <c r="Q138" s="15" t="s">
        <v>150</v>
      </c>
    </row>
    <row r="139" spans="1:17" x14ac:dyDescent="0.3">
      <c r="A139" s="15" t="s">
        <v>636</v>
      </c>
      <c r="B139" s="16">
        <v>45945</v>
      </c>
      <c r="C139" s="15" t="s">
        <v>637</v>
      </c>
      <c r="D139" s="15" t="s">
        <v>342</v>
      </c>
      <c r="E139" s="16">
        <v>45930</v>
      </c>
      <c r="F139" s="15" t="s">
        <v>259</v>
      </c>
      <c r="G139" s="15" t="s">
        <v>538</v>
      </c>
      <c r="H139" s="15" t="s">
        <v>351</v>
      </c>
      <c r="I139" s="15" t="s">
        <v>638</v>
      </c>
      <c r="J139" s="17">
        <v>1</v>
      </c>
      <c r="K139" s="15" t="s">
        <v>260</v>
      </c>
      <c r="L139" s="15" t="s">
        <v>140</v>
      </c>
      <c r="M139" s="15" t="s">
        <v>188</v>
      </c>
      <c r="N139" s="15" t="s">
        <v>279</v>
      </c>
      <c r="O139" s="15"/>
      <c r="P139" s="17">
        <v>63</v>
      </c>
      <c r="Q139" s="15"/>
    </row>
    <row r="140" spans="1:17" x14ac:dyDescent="0.3">
      <c r="A140" s="15" t="s">
        <v>639</v>
      </c>
      <c r="B140" s="16">
        <v>45980</v>
      </c>
      <c r="C140" s="15" t="s">
        <v>355</v>
      </c>
      <c r="D140" s="15" t="s">
        <v>640</v>
      </c>
      <c r="E140" s="16">
        <v>45911</v>
      </c>
      <c r="F140" s="15" t="s">
        <v>123</v>
      </c>
      <c r="G140" s="15" t="s">
        <v>146</v>
      </c>
      <c r="H140" s="15" t="s">
        <v>147</v>
      </c>
      <c r="I140" s="15" t="s">
        <v>148</v>
      </c>
      <c r="J140" s="17">
        <v>1</v>
      </c>
      <c r="K140" s="15" t="s">
        <v>290</v>
      </c>
      <c r="L140" s="15" t="s">
        <v>159</v>
      </c>
      <c r="M140" s="15"/>
      <c r="N140" s="15" t="s">
        <v>130</v>
      </c>
      <c r="O140" s="17">
        <v>5</v>
      </c>
      <c r="P140" s="17">
        <v>36</v>
      </c>
      <c r="Q140" s="15" t="s">
        <v>202</v>
      </c>
    </row>
    <row r="141" spans="1:17" x14ac:dyDescent="0.3">
      <c r="A141" s="15" t="s">
        <v>641</v>
      </c>
      <c r="B141" s="16">
        <v>45933</v>
      </c>
      <c r="C141" s="15" t="s">
        <v>561</v>
      </c>
      <c r="D141" s="15" t="s">
        <v>642</v>
      </c>
      <c r="E141" s="16">
        <v>45886</v>
      </c>
      <c r="F141" s="15" t="s">
        <v>259</v>
      </c>
      <c r="G141" s="15" t="s">
        <v>350</v>
      </c>
      <c r="H141" s="15" t="s">
        <v>351</v>
      </c>
      <c r="I141" s="15" t="s">
        <v>638</v>
      </c>
      <c r="J141" s="17">
        <v>3</v>
      </c>
      <c r="K141" s="15" t="s">
        <v>260</v>
      </c>
      <c r="L141" s="15" t="s">
        <v>128</v>
      </c>
      <c r="M141" s="15" t="s">
        <v>188</v>
      </c>
      <c r="N141" s="15" t="s">
        <v>130</v>
      </c>
      <c r="O141" s="17">
        <v>4</v>
      </c>
      <c r="P141" s="17">
        <v>56</v>
      </c>
      <c r="Q141" s="15"/>
    </row>
    <row r="142" spans="1:17" x14ac:dyDescent="0.3">
      <c r="A142" s="15" t="s">
        <v>643</v>
      </c>
      <c r="B142" s="16">
        <v>45972</v>
      </c>
      <c r="C142" s="15" t="s">
        <v>644</v>
      </c>
      <c r="D142" s="15" t="s">
        <v>645</v>
      </c>
      <c r="E142" s="16">
        <v>45972</v>
      </c>
      <c r="F142" s="15" t="s">
        <v>170</v>
      </c>
      <c r="G142" s="15" t="s">
        <v>245</v>
      </c>
      <c r="H142" s="15" t="s">
        <v>233</v>
      </c>
      <c r="I142" s="15" t="s">
        <v>276</v>
      </c>
      <c r="J142" s="17">
        <v>3</v>
      </c>
      <c r="K142" s="15" t="s">
        <v>158</v>
      </c>
      <c r="L142" s="15" t="s">
        <v>159</v>
      </c>
      <c r="M142" s="15" t="s">
        <v>182</v>
      </c>
      <c r="N142" s="15" t="s">
        <v>235</v>
      </c>
      <c r="O142" s="15"/>
      <c r="P142" s="17">
        <v>42</v>
      </c>
      <c r="Q142" s="15" t="s">
        <v>280</v>
      </c>
    </row>
    <row r="143" spans="1:17" x14ac:dyDescent="0.3">
      <c r="A143" s="15" t="s">
        <v>646</v>
      </c>
      <c r="B143" s="16">
        <v>45872</v>
      </c>
      <c r="C143" s="15" t="s">
        <v>416</v>
      </c>
      <c r="D143" s="15" t="s">
        <v>417</v>
      </c>
      <c r="E143" s="16">
        <v>45871</v>
      </c>
      <c r="F143" s="15" t="s">
        <v>294</v>
      </c>
      <c r="G143" s="15" t="s">
        <v>216</v>
      </c>
      <c r="H143" s="15" t="s">
        <v>125</v>
      </c>
      <c r="I143" s="15" t="s">
        <v>295</v>
      </c>
      <c r="J143" s="17">
        <v>3</v>
      </c>
      <c r="K143" s="15" t="s">
        <v>213</v>
      </c>
      <c r="L143" s="15" t="s">
        <v>159</v>
      </c>
      <c r="M143" s="15"/>
      <c r="N143" s="15" t="s">
        <v>130</v>
      </c>
      <c r="O143" s="17">
        <v>4</v>
      </c>
      <c r="P143" s="17">
        <v>36</v>
      </c>
      <c r="Q143" s="15"/>
    </row>
    <row r="144" spans="1:17" x14ac:dyDescent="0.3">
      <c r="A144" s="15" t="s">
        <v>647</v>
      </c>
      <c r="B144" s="16">
        <v>45909</v>
      </c>
      <c r="C144" s="15" t="s">
        <v>648</v>
      </c>
      <c r="D144" s="15" t="s">
        <v>185</v>
      </c>
      <c r="E144" s="16">
        <v>45909</v>
      </c>
      <c r="F144" s="15" t="s">
        <v>259</v>
      </c>
      <c r="G144" s="15" t="s">
        <v>136</v>
      </c>
      <c r="H144" s="15" t="s">
        <v>137</v>
      </c>
      <c r="I144" s="15" t="s">
        <v>138</v>
      </c>
      <c r="J144" s="17">
        <v>1</v>
      </c>
      <c r="K144" s="15" t="s">
        <v>260</v>
      </c>
      <c r="L144" s="15" t="s">
        <v>128</v>
      </c>
      <c r="M144" s="15"/>
      <c r="N144" s="15" t="s">
        <v>130</v>
      </c>
      <c r="O144" s="17">
        <v>4</v>
      </c>
      <c r="P144" s="17">
        <v>55</v>
      </c>
      <c r="Q144" s="15" t="s">
        <v>202</v>
      </c>
    </row>
    <row r="145" spans="1:17" x14ac:dyDescent="0.3">
      <c r="A145" s="15" t="s">
        <v>649</v>
      </c>
      <c r="B145" s="16">
        <v>45942</v>
      </c>
      <c r="C145" s="15" t="s">
        <v>650</v>
      </c>
      <c r="D145" s="15" t="s">
        <v>611</v>
      </c>
      <c r="E145" s="16">
        <v>45916</v>
      </c>
      <c r="F145" s="15" t="s">
        <v>259</v>
      </c>
      <c r="G145" s="15" t="s">
        <v>192</v>
      </c>
      <c r="H145" s="15" t="s">
        <v>137</v>
      </c>
      <c r="I145" s="15" t="s">
        <v>651</v>
      </c>
      <c r="J145" s="17">
        <v>1</v>
      </c>
      <c r="K145" s="15" t="s">
        <v>474</v>
      </c>
      <c r="L145" s="15" t="s">
        <v>140</v>
      </c>
      <c r="M145" s="15" t="s">
        <v>129</v>
      </c>
      <c r="N145" s="15" t="s">
        <v>235</v>
      </c>
      <c r="O145" s="15"/>
      <c r="P145" s="17">
        <v>53</v>
      </c>
      <c r="Q145" s="15" t="s">
        <v>284</v>
      </c>
    </row>
    <row r="146" spans="1:17" x14ac:dyDescent="0.3">
      <c r="A146" s="15" t="s">
        <v>652</v>
      </c>
      <c r="B146" s="16">
        <v>45881</v>
      </c>
      <c r="C146" s="15" t="s">
        <v>210</v>
      </c>
      <c r="D146" s="15" t="s">
        <v>211</v>
      </c>
      <c r="E146" s="16">
        <v>45880</v>
      </c>
      <c r="F146" s="15" t="s">
        <v>198</v>
      </c>
      <c r="G146" s="15" t="s">
        <v>124</v>
      </c>
      <c r="H146" s="15" t="s">
        <v>125</v>
      </c>
      <c r="I146" s="15" t="s">
        <v>126</v>
      </c>
      <c r="J146" s="17">
        <v>1</v>
      </c>
      <c r="K146" s="15" t="s">
        <v>201</v>
      </c>
      <c r="L146" s="15" t="s">
        <v>247</v>
      </c>
      <c r="M146" s="15" t="s">
        <v>129</v>
      </c>
      <c r="N146" s="15" t="s">
        <v>235</v>
      </c>
      <c r="O146" s="15"/>
      <c r="P146" s="17">
        <v>21</v>
      </c>
      <c r="Q146" s="15"/>
    </row>
    <row r="147" spans="1:17" x14ac:dyDescent="0.3">
      <c r="A147" s="15" t="s">
        <v>653</v>
      </c>
      <c r="B147" s="16">
        <v>45947</v>
      </c>
      <c r="C147" s="15" t="s">
        <v>654</v>
      </c>
      <c r="D147" s="15" t="s">
        <v>655</v>
      </c>
      <c r="E147" s="16">
        <v>45945</v>
      </c>
      <c r="F147" s="15" t="s">
        <v>401</v>
      </c>
      <c r="G147" s="15" t="s">
        <v>163</v>
      </c>
      <c r="H147" s="15" t="s">
        <v>164</v>
      </c>
      <c r="I147" s="15" t="s">
        <v>517</v>
      </c>
      <c r="J147" s="17">
        <v>3</v>
      </c>
      <c r="K147" s="15" t="s">
        <v>139</v>
      </c>
      <c r="L147" s="15" t="s">
        <v>278</v>
      </c>
      <c r="M147" s="15"/>
      <c r="N147" s="15" t="s">
        <v>130</v>
      </c>
      <c r="O147" s="17">
        <v>3</v>
      </c>
      <c r="P147" s="17">
        <v>33</v>
      </c>
      <c r="Q147" s="15"/>
    </row>
    <row r="148" spans="1:17" x14ac:dyDescent="0.3">
      <c r="A148" s="15" t="s">
        <v>656</v>
      </c>
      <c r="B148" s="16">
        <v>45967</v>
      </c>
      <c r="C148" s="15" t="s">
        <v>325</v>
      </c>
      <c r="D148" s="15" t="s">
        <v>657</v>
      </c>
      <c r="E148" s="16">
        <v>45966</v>
      </c>
      <c r="F148" s="15" t="s">
        <v>259</v>
      </c>
      <c r="G148" s="15" t="s">
        <v>216</v>
      </c>
      <c r="H148" s="15" t="s">
        <v>125</v>
      </c>
      <c r="I148" s="15" t="s">
        <v>295</v>
      </c>
      <c r="J148" s="17">
        <v>4</v>
      </c>
      <c r="K148" s="15" t="s">
        <v>260</v>
      </c>
      <c r="L148" s="15" t="s">
        <v>128</v>
      </c>
      <c r="M148" s="15" t="s">
        <v>182</v>
      </c>
      <c r="N148" s="15" t="s">
        <v>235</v>
      </c>
      <c r="O148" s="15"/>
      <c r="P148" s="17">
        <v>53</v>
      </c>
      <c r="Q148" s="15" t="s">
        <v>284</v>
      </c>
    </row>
    <row r="149" spans="1:17" x14ac:dyDescent="0.3">
      <c r="A149" s="15" t="s">
        <v>658</v>
      </c>
      <c r="B149" s="16">
        <v>45962</v>
      </c>
      <c r="C149" s="15" t="s">
        <v>659</v>
      </c>
      <c r="D149" s="15" t="s">
        <v>660</v>
      </c>
      <c r="E149" s="16">
        <v>45947</v>
      </c>
      <c r="F149" s="15" t="s">
        <v>135</v>
      </c>
      <c r="G149" s="15" t="s">
        <v>339</v>
      </c>
      <c r="H149" s="15" t="s">
        <v>233</v>
      </c>
      <c r="I149" s="15" t="s">
        <v>276</v>
      </c>
      <c r="J149" s="17">
        <v>2</v>
      </c>
      <c r="K149" s="15" t="s">
        <v>277</v>
      </c>
      <c r="L149" s="15" t="s">
        <v>159</v>
      </c>
      <c r="M149" s="15"/>
      <c r="N149" s="15" t="s">
        <v>130</v>
      </c>
      <c r="O149" s="17">
        <v>4</v>
      </c>
      <c r="P149" s="17">
        <v>20</v>
      </c>
      <c r="Q149" s="15" t="s">
        <v>302</v>
      </c>
    </row>
    <row r="150" spans="1:17" x14ac:dyDescent="0.3">
      <c r="A150" s="15" t="s">
        <v>661</v>
      </c>
      <c r="B150" s="16">
        <v>45979</v>
      </c>
      <c r="C150" s="15" t="s">
        <v>662</v>
      </c>
      <c r="D150" s="15" t="s">
        <v>663</v>
      </c>
      <c r="E150" s="16">
        <v>45948</v>
      </c>
      <c r="F150" s="15" t="s">
        <v>123</v>
      </c>
      <c r="G150" s="15" t="s">
        <v>331</v>
      </c>
      <c r="H150" s="15" t="s">
        <v>164</v>
      </c>
      <c r="I150" s="15" t="s">
        <v>521</v>
      </c>
      <c r="J150" s="17">
        <v>1</v>
      </c>
      <c r="K150" s="15" t="s">
        <v>290</v>
      </c>
      <c r="L150" s="15" t="s">
        <v>140</v>
      </c>
      <c r="M150" s="15"/>
      <c r="N150" s="15" t="s">
        <v>130</v>
      </c>
      <c r="O150" s="17">
        <v>2</v>
      </c>
      <c r="P150" s="17">
        <v>59</v>
      </c>
      <c r="Q150" s="15"/>
    </row>
    <row r="151" spans="1:17" x14ac:dyDescent="0.3">
      <c r="A151" s="15" t="s">
        <v>664</v>
      </c>
      <c r="B151" s="16">
        <v>45997</v>
      </c>
      <c r="C151" s="15" t="s">
        <v>665</v>
      </c>
      <c r="D151" s="15" t="s">
        <v>666</v>
      </c>
      <c r="E151" s="16">
        <v>45957</v>
      </c>
      <c r="F151" s="15" t="s">
        <v>177</v>
      </c>
      <c r="G151" s="15" t="s">
        <v>124</v>
      </c>
      <c r="H151" s="15" t="s">
        <v>125</v>
      </c>
      <c r="I151" s="15" t="s">
        <v>667</v>
      </c>
      <c r="J151" s="17">
        <v>3</v>
      </c>
      <c r="K151" s="15" t="s">
        <v>181</v>
      </c>
      <c r="L151" s="15" t="s">
        <v>247</v>
      </c>
      <c r="M151" s="15" t="s">
        <v>518</v>
      </c>
      <c r="N151" s="15" t="s">
        <v>130</v>
      </c>
      <c r="O151" s="17">
        <v>4</v>
      </c>
      <c r="P151" s="17">
        <v>24</v>
      </c>
      <c r="Q151" s="15"/>
    </row>
    <row r="152" spans="1:17" x14ac:dyDescent="0.3">
      <c r="A152" s="15" t="s">
        <v>668</v>
      </c>
      <c r="B152" s="16">
        <v>46052</v>
      </c>
      <c r="C152" s="15" t="s">
        <v>669</v>
      </c>
      <c r="D152" s="15" t="s">
        <v>598</v>
      </c>
      <c r="E152" s="16">
        <v>45904</v>
      </c>
      <c r="F152" s="15" t="s">
        <v>170</v>
      </c>
      <c r="G152" s="15" t="s">
        <v>136</v>
      </c>
      <c r="H152" s="15" t="s">
        <v>137</v>
      </c>
      <c r="I152" s="15" t="s">
        <v>323</v>
      </c>
      <c r="J152" s="17">
        <v>3</v>
      </c>
      <c r="K152" s="15" t="s">
        <v>158</v>
      </c>
      <c r="L152" s="15" t="s">
        <v>247</v>
      </c>
      <c r="M152" s="15" t="s">
        <v>336</v>
      </c>
      <c r="N152" s="15" t="s">
        <v>130</v>
      </c>
      <c r="O152" s="15"/>
      <c r="P152" s="17">
        <v>46</v>
      </c>
      <c r="Q152" s="15"/>
    </row>
    <row r="153" spans="1:17" x14ac:dyDescent="0.3">
      <c r="A153" s="15" t="s">
        <v>670</v>
      </c>
      <c r="B153" s="16">
        <v>45960</v>
      </c>
      <c r="C153" s="15" t="s">
        <v>249</v>
      </c>
      <c r="D153" s="15" t="s">
        <v>250</v>
      </c>
      <c r="E153" s="16">
        <v>45874</v>
      </c>
      <c r="F153" s="15" t="s">
        <v>206</v>
      </c>
      <c r="G153" s="15" t="s">
        <v>216</v>
      </c>
      <c r="H153" s="15" t="s">
        <v>125</v>
      </c>
      <c r="I153" s="15" t="s">
        <v>313</v>
      </c>
      <c r="J153" s="17">
        <v>3</v>
      </c>
      <c r="K153" s="15" t="s">
        <v>353</v>
      </c>
      <c r="L153" s="15" t="s">
        <v>140</v>
      </c>
      <c r="M153" s="15" t="s">
        <v>336</v>
      </c>
      <c r="N153" s="15" t="s">
        <v>130</v>
      </c>
      <c r="O153" s="17">
        <v>5</v>
      </c>
      <c r="P153" s="17">
        <v>54</v>
      </c>
      <c r="Q153" s="15"/>
    </row>
    <row r="154" spans="1:17" x14ac:dyDescent="0.3">
      <c r="A154" s="15" t="s">
        <v>671</v>
      </c>
      <c r="B154" s="16">
        <v>45959</v>
      </c>
      <c r="C154" s="15" t="s">
        <v>672</v>
      </c>
      <c r="D154" s="15" t="s">
        <v>392</v>
      </c>
      <c r="E154" s="16">
        <v>45947</v>
      </c>
      <c r="F154" s="15" t="s">
        <v>198</v>
      </c>
      <c r="G154" s="15" t="s">
        <v>232</v>
      </c>
      <c r="H154" s="15" t="s">
        <v>233</v>
      </c>
      <c r="I154" s="15" t="s">
        <v>673</v>
      </c>
      <c r="J154" s="17">
        <v>3</v>
      </c>
      <c r="K154" s="15" t="s">
        <v>213</v>
      </c>
      <c r="L154" s="15" t="s">
        <v>128</v>
      </c>
      <c r="M154" s="15"/>
      <c r="N154" s="15" t="s">
        <v>130</v>
      </c>
      <c r="O154" s="17">
        <v>4</v>
      </c>
      <c r="P154" s="17">
        <v>18</v>
      </c>
      <c r="Q154" s="15"/>
    </row>
    <row r="155" spans="1:17" x14ac:dyDescent="0.3">
      <c r="A155" s="15" t="s">
        <v>674</v>
      </c>
      <c r="B155" s="16"/>
      <c r="C155" s="15" t="s">
        <v>552</v>
      </c>
      <c r="D155" s="15" t="s">
        <v>553</v>
      </c>
      <c r="E155" s="16">
        <v>45901</v>
      </c>
      <c r="F155" s="15" t="s">
        <v>228</v>
      </c>
      <c r="G155" s="15" t="s">
        <v>163</v>
      </c>
      <c r="H155" s="15" t="s">
        <v>164</v>
      </c>
      <c r="I155" s="15" t="s">
        <v>393</v>
      </c>
      <c r="J155" s="17">
        <v>1</v>
      </c>
      <c r="K155" s="15" t="s">
        <v>218</v>
      </c>
      <c r="L155" s="15" t="s">
        <v>247</v>
      </c>
      <c r="M155" s="15" t="s">
        <v>255</v>
      </c>
      <c r="N155" s="15" t="s">
        <v>130</v>
      </c>
      <c r="O155" s="17">
        <v>3</v>
      </c>
      <c r="P155" s="17">
        <v>34</v>
      </c>
      <c r="Q155" s="15"/>
    </row>
    <row r="156" spans="1:17" x14ac:dyDescent="0.3">
      <c r="A156" s="15" t="s">
        <v>675</v>
      </c>
      <c r="B156" s="16">
        <v>45888</v>
      </c>
      <c r="C156" s="15" t="s">
        <v>676</v>
      </c>
      <c r="D156" s="15" t="s">
        <v>677</v>
      </c>
      <c r="E156" s="16">
        <v>45888</v>
      </c>
      <c r="F156" s="15" t="s">
        <v>198</v>
      </c>
      <c r="G156" s="15" t="s">
        <v>178</v>
      </c>
      <c r="H156" s="15" t="s">
        <v>179</v>
      </c>
      <c r="I156" s="15" t="s">
        <v>479</v>
      </c>
      <c r="J156" s="17">
        <v>3</v>
      </c>
      <c r="K156" s="15" t="s">
        <v>201</v>
      </c>
      <c r="L156" s="15" t="s">
        <v>159</v>
      </c>
      <c r="M156" s="15"/>
      <c r="N156" s="15" t="s">
        <v>130</v>
      </c>
      <c r="O156" s="17">
        <v>5</v>
      </c>
      <c r="P156" s="17">
        <v>37</v>
      </c>
      <c r="Q156" s="15"/>
    </row>
    <row r="157" spans="1:17" x14ac:dyDescent="0.3">
      <c r="A157" s="15" t="s">
        <v>678</v>
      </c>
      <c r="B157" s="16">
        <v>45969</v>
      </c>
      <c r="C157" s="15" t="s">
        <v>679</v>
      </c>
      <c r="D157" s="15" t="s">
        <v>231</v>
      </c>
      <c r="E157" s="16">
        <v>45969</v>
      </c>
      <c r="F157" s="15" t="s">
        <v>425</v>
      </c>
      <c r="G157" s="15" t="s">
        <v>136</v>
      </c>
      <c r="H157" s="15" t="s">
        <v>137</v>
      </c>
      <c r="I157" s="15" t="s">
        <v>680</v>
      </c>
      <c r="J157" s="17">
        <v>1</v>
      </c>
      <c r="K157" s="15" t="s">
        <v>298</v>
      </c>
      <c r="L157" s="15" t="s">
        <v>159</v>
      </c>
      <c r="M157" s="15"/>
      <c r="N157" s="15" t="s">
        <v>130</v>
      </c>
      <c r="O157" s="17">
        <v>4</v>
      </c>
      <c r="P157" s="17">
        <v>46</v>
      </c>
      <c r="Q157" s="15" t="s">
        <v>302</v>
      </c>
    </row>
    <row r="158" spans="1:17" x14ac:dyDescent="0.3">
      <c r="A158" s="15" t="s">
        <v>681</v>
      </c>
      <c r="B158" s="16">
        <v>45951</v>
      </c>
      <c r="C158" s="15" t="s">
        <v>682</v>
      </c>
      <c r="D158" s="15" t="s">
        <v>683</v>
      </c>
      <c r="E158" s="16">
        <v>45949</v>
      </c>
      <c r="F158" s="15" t="s">
        <v>135</v>
      </c>
      <c r="G158" s="15" t="s">
        <v>538</v>
      </c>
      <c r="H158" s="15" t="s">
        <v>351</v>
      </c>
      <c r="I158" s="15" t="s">
        <v>352</v>
      </c>
      <c r="J158" s="17">
        <v>3</v>
      </c>
      <c r="K158" s="15" t="s">
        <v>187</v>
      </c>
      <c r="L158" s="15" t="s">
        <v>128</v>
      </c>
      <c r="M158" s="15" t="s">
        <v>188</v>
      </c>
      <c r="N158" s="15" t="s">
        <v>130</v>
      </c>
      <c r="O158" s="17">
        <v>5</v>
      </c>
      <c r="P158" s="17">
        <v>42</v>
      </c>
      <c r="Q158" s="15" t="s">
        <v>302</v>
      </c>
    </row>
    <row r="159" spans="1:17" x14ac:dyDescent="0.3">
      <c r="A159" s="15" t="s">
        <v>684</v>
      </c>
      <c r="B159" s="16">
        <v>46035</v>
      </c>
      <c r="C159" s="15" t="s">
        <v>613</v>
      </c>
      <c r="D159" s="15" t="s">
        <v>614</v>
      </c>
      <c r="E159" s="16">
        <v>45940</v>
      </c>
      <c r="F159" s="15" t="s">
        <v>135</v>
      </c>
      <c r="G159" s="15" t="s">
        <v>136</v>
      </c>
      <c r="H159" s="15" t="s">
        <v>137</v>
      </c>
      <c r="I159" s="15" t="s">
        <v>138</v>
      </c>
      <c r="J159" s="17">
        <v>2</v>
      </c>
      <c r="K159" s="15" t="s">
        <v>223</v>
      </c>
      <c r="L159" s="15" t="s">
        <v>247</v>
      </c>
      <c r="M159" s="15" t="s">
        <v>129</v>
      </c>
      <c r="N159" s="15" t="s">
        <v>130</v>
      </c>
      <c r="O159" s="17">
        <v>5</v>
      </c>
      <c r="P159" s="17">
        <v>31</v>
      </c>
      <c r="Q159" s="15"/>
    </row>
    <row r="160" spans="1:17" x14ac:dyDescent="0.3">
      <c r="A160" s="15" t="s">
        <v>685</v>
      </c>
      <c r="B160" s="16">
        <v>45915</v>
      </c>
      <c r="C160" s="15" t="s">
        <v>686</v>
      </c>
      <c r="D160" s="15" t="s">
        <v>191</v>
      </c>
      <c r="E160" s="16">
        <v>45877</v>
      </c>
      <c r="F160" s="15" t="s">
        <v>170</v>
      </c>
      <c r="G160" s="15" t="s">
        <v>136</v>
      </c>
      <c r="H160" s="15" t="s">
        <v>137</v>
      </c>
      <c r="I160" s="15" t="s">
        <v>138</v>
      </c>
      <c r="J160" s="17">
        <v>2</v>
      </c>
      <c r="K160" s="15" t="s">
        <v>173</v>
      </c>
      <c r="L160" s="15" t="s">
        <v>140</v>
      </c>
      <c r="M160" s="15"/>
      <c r="N160" s="15" t="s">
        <v>130</v>
      </c>
      <c r="O160" s="17">
        <v>3</v>
      </c>
      <c r="P160" s="17">
        <v>31</v>
      </c>
      <c r="Q160" s="15"/>
    </row>
    <row r="161" spans="1:17" x14ac:dyDescent="0.3">
      <c r="A161" s="15" t="s">
        <v>687</v>
      </c>
      <c r="B161" s="16">
        <v>45928</v>
      </c>
      <c r="C161" s="15" t="s">
        <v>688</v>
      </c>
      <c r="D161" s="15" t="s">
        <v>689</v>
      </c>
      <c r="E161" s="16">
        <v>45927</v>
      </c>
      <c r="F161" s="15" t="s">
        <v>413</v>
      </c>
      <c r="G161" s="15" t="s">
        <v>216</v>
      </c>
      <c r="H161" s="15" t="s">
        <v>125</v>
      </c>
      <c r="I161" s="15" t="s">
        <v>571</v>
      </c>
      <c r="J161" s="17">
        <v>1</v>
      </c>
      <c r="K161" s="15" t="s">
        <v>277</v>
      </c>
      <c r="L161" s="15" t="s">
        <v>140</v>
      </c>
      <c r="M161" s="15"/>
      <c r="N161" s="15" t="s">
        <v>130</v>
      </c>
      <c r="O161" s="17">
        <v>4</v>
      </c>
      <c r="P161" s="17">
        <v>45</v>
      </c>
      <c r="Q161" s="15" t="s">
        <v>202</v>
      </c>
    </row>
    <row r="162" spans="1:17" x14ac:dyDescent="0.3">
      <c r="A162" s="15" t="s">
        <v>690</v>
      </c>
      <c r="B162" s="16">
        <v>46047</v>
      </c>
      <c r="C162" s="15" t="s">
        <v>691</v>
      </c>
      <c r="D162" s="15" t="s">
        <v>692</v>
      </c>
      <c r="E162" s="16">
        <v>45960</v>
      </c>
      <c r="F162" s="15" t="s">
        <v>206</v>
      </c>
      <c r="G162" s="15" t="s">
        <v>178</v>
      </c>
      <c r="H162" s="15" t="s">
        <v>179</v>
      </c>
      <c r="I162" s="15" t="s">
        <v>693</v>
      </c>
      <c r="J162" s="17">
        <v>1</v>
      </c>
      <c r="K162" s="15" t="s">
        <v>358</v>
      </c>
      <c r="L162" s="15" t="s">
        <v>140</v>
      </c>
      <c r="M162" s="15"/>
      <c r="N162" s="15" t="s">
        <v>130</v>
      </c>
      <c r="O162" s="17">
        <v>5</v>
      </c>
      <c r="P162" s="17">
        <v>610</v>
      </c>
      <c r="Q162" s="15"/>
    </row>
    <row r="163" spans="1:17" x14ac:dyDescent="0.3">
      <c r="A163" s="15" t="s">
        <v>694</v>
      </c>
      <c r="B163" s="16">
        <v>45881</v>
      </c>
      <c r="C163" s="15" t="s">
        <v>695</v>
      </c>
      <c r="D163" s="15" t="s">
        <v>696</v>
      </c>
      <c r="E163" s="16">
        <v>45784</v>
      </c>
      <c r="F163" s="15" t="s">
        <v>170</v>
      </c>
      <c r="G163" s="15" t="s">
        <v>124</v>
      </c>
      <c r="H163" s="15" t="s">
        <v>125</v>
      </c>
      <c r="I163" s="15" t="s">
        <v>697</v>
      </c>
      <c r="J163" s="17">
        <v>3</v>
      </c>
      <c r="K163" s="15" t="s">
        <v>158</v>
      </c>
      <c r="L163" s="15" t="s">
        <v>128</v>
      </c>
      <c r="M163" s="15"/>
      <c r="N163" s="15" t="s">
        <v>130</v>
      </c>
      <c r="O163" s="17">
        <v>2</v>
      </c>
      <c r="P163" s="17">
        <v>43</v>
      </c>
      <c r="Q163" s="15"/>
    </row>
    <row r="164" spans="1:17" x14ac:dyDescent="0.3">
      <c r="A164" s="15" t="s">
        <v>698</v>
      </c>
      <c r="B164" s="16">
        <v>45998</v>
      </c>
      <c r="C164" s="15" t="s">
        <v>461</v>
      </c>
      <c r="D164" s="15" t="s">
        <v>254</v>
      </c>
      <c r="E164" s="16">
        <v>45885</v>
      </c>
      <c r="F164" s="15" t="s">
        <v>145</v>
      </c>
      <c r="G164" s="15" t="s">
        <v>339</v>
      </c>
      <c r="H164" s="15" t="s">
        <v>233</v>
      </c>
      <c r="I164" s="15" t="s">
        <v>363</v>
      </c>
      <c r="J164" s="17">
        <v>2</v>
      </c>
      <c r="K164" s="15" t="s">
        <v>450</v>
      </c>
      <c r="L164" s="15" t="s">
        <v>247</v>
      </c>
      <c r="M164" s="15" t="s">
        <v>336</v>
      </c>
      <c r="N164" s="15" t="s">
        <v>130</v>
      </c>
      <c r="O164" s="17">
        <v>5</v>
      </c>
      <c r="P164" s="17">
        <v>53</v>
      </c>
      <c r="Q164" s="15" t="s">
        <v>131</v>
      </c>
    </row>
    <row r="165" spans="1:17" x14ac:dyDescent="0.3">
      <c r="A165" s="15" t="s">
        <v>699</v>
      </c>
      <c r="B165" s="16">
        <v>45961</v>
      </c>
      <c r="C165" s="15" t="s">
        <v>483</v>
      </c>
      <c r="D165" s="15" t="s">
        <v>700</v>
      </c>
      <c r="E165" s="16">
        <v>45937</v>
      </c>
      <c r="F165" s="15" t="s">
        <v>397</v>
      </c>
      <c r="G165" s="15" t="s">
        <v>339</v>
      </c>
      <c r="H165" s="15" t="s">
        <v>233</v>
      </c>
      <c r="I165" s="15" t="s">
        <v>701</v>
      </c>
      <c r="J165" s="17">
        <v>2</v>
      </c>
      <c r="K165" s="15" t="s">
        <v>187</v>
      </c>
      <c r="L165" s="15" t="s">
        <v>128</v>
      </c>
      <c r="M165" s="15" t="s">
        <v>182</v>
      </c>
      <c r="N165" s="15" t="s">
        <v>279</v>
      </c>
      <c r="O165" s="15"/>
      <c r="P165" s="17">
        <v>34</v>
      </c>
      <c r="Q165" s="15"/>
    </row>
    <row r="166" spans="1:17" x14ac:dyDescent="0.3">
      <c r="A166" s="15" t="s">
        <v>702</v>
      </c>
      <c r="B166" s="16">
        <v>45957</v>
      </c>
      <c r="C166" s="15" t="s">
        <v>703</v>
      </c>
      <c r="D166" s="15" t="s">
        <v>620</v>
      </c>
      <c r="E166" s="16">
        <v>45700</v>
      </c>
      <c r="F166" s="15" t="s">
        <v>498</v>
      </c>
      <c r="G166" s="15" t="s">
        <v>155</v>
      </c>
      <c r="H166" s="15" t="s">
        <v>156</v>
      </c>
      <c r="I166" s="15" t="s">
        <v>157</v>
      </c>
      <c r="J166" s="17">
        <v>3</v>
      </c>
      <c r="K166" s="15" t="s">
        <v>149</v>
      </c>
      <c r="L166" s="15" t="s">
        <v>159</v>
      </c>
      <c r="M166" s="15" t="s">
        <v>182</v>
      </c>
      <c r="N166" s="15" t="s">
        <v>130</v>
      </c>
      <c r="O166" s="17">
        <v>5</v>
      </c>
      <c r="P166" s="17">
        <v>39</v>
      </c>
      <c r="Q166" s="15" t="s">
        <v>141</v>
      </c>
    </row>
    <row r="167" spans="1:17" x14ac:dyDescent="0.3">
      <c r="A167" s="15" t="s">
        <v>704</v>
      </c>
      <c r="B167" s="16">
        <v>45972</v>
      </c>
      <c r="C167" s="15" t="s">
        <v>705</v>
      </c>
      <c r="D167" s="15" t="s">
        <v>706</v>
      </c>
      <c r="E167" s="16">
        <v>45898</v>
      </c>
      <c r="F167" s="15" t="s">
        <v>228</v>
      </c>
      <c r="G167" s="15" t="s">
        <v>192</v>
      </c>
      <c r="H167" s="15" t="s">
        <v>137</v>
      </c>
      <c r="I167" s="15" t="s">
        <v>138</v>
      </c>
      <c r="J167" s="17">
        <v>3</v>
      </c>
      <c r="K167" s="15" t="s">
        <v>218</v>
      </c>
      <c r="L167" s="15" t="s">
        <v>159</v>
      </c>
      <c r="M167" s="15"/>
      <c r="N167" s="15" t="s">
        <v>130</v>
      </c>
      <c r="O167" s="15"/>
      <c r="P167" s="17">
        <v>30</v>
      </c>
      <c r="Q167" s="15"/>
    </row>
    <row r="168" spans="1:17" x14ac:dyDescent="0.3">
      <c r="A168" s="15" t="s">
        <v>707</v>
      </c>
      <c r="B168" s="16">
        <v>45882</v>
      </c>
      <c r="C168" s="15" t="s">
        <v>708</v>
      </c>
      <c r="D168" s="15" t="s">
        <v>709</v>
      </c>
      <c r="E168" s="16">
        <v>45881</v>
      </c>
      <c r="F168" s="15" t="s">
        <v>259</v>
      </c>
      <c r="G168" s="15" t="s">
        <v>178</v>
      </c>
      <c r="H168" s="15" t="s">
        <v>179</v>
      </c>
      <c r="I168" s="15" t="s">
        <v>180</v>
      </c>
      <c r="J168" s="17">
        <v>1</v>
      </c>
      <c r="K168" s="15" t="s">
        <v>474</v>
      </c>
      <c r="L168" s="15" t="s">
        <v>128</v>
      </c>
      <c r="M168" s="15" t="s">
        <v>529</v>
      </c>
      <c r="N168" s="15" t="s">
        <v>130</v>
      </c>
      <c r="O168" s="17">
        <v>4</v>
      </c>
      <c r="P168" s="17">
        <v>48</v>
      </c>
      <c r="Q168" s="15"/>
    </row>
    <row r="169" spans="1:17" x14ac:dyDescent="0.3">
      <c r="A169" s="15" t="s">
        <v>710</v>
      </c>
      <c r="B169" s="16">
        <v>45954</v>
      </c>
      <c r="C169" s="15" t="s">
        <v>711</v>
      </c>
      <c r="D169" s="15" t="s">
        <v>712</v>
      </c>
      <c r="E169" s="16">
        <v>45701</v>
      </c>
      <c r="F169" s="15" t="s">
        <v>177</v>
      </c>
      <c r="G169" s="15" t="s">
        <v>146</v>
      </c>
      <c r="H169" s="15" t="s">
        <v>147</v>
      </c>
      <c r="I169" s="15" t="s">
        <v>264</v>
      </c>
      <c r="J169" s="17">
        <v>2</v>
      </c>
      <c r="K169" s="15" t="s">
        <v>713</v>
      </c>
      <c r="L169" s="15" t="s">
        <v>128</v>
      </c>
      <c r="M169" s="15"/>
      <c r="N169" s="15" t="s">
        <v>279</v>
      </c>
      <c r="O169" s="15"/>
      <c r="P169" s="17">
        <v>26</v>
      </c>
      <c r="Q169" s="15"/>
    </row>
    <row r="170" spans="1:17" x14ac:dyDescent="0.3">
      <c r="A170" s="15" t="s">
        <v>714</v>
      </c>
      <c r="B170" s="16">
        <v>45960</v>
      </c>
      <c r="C170" s="15" t="s">
        <v>715</v>
      </c>
      <c r="D170" s="15" t="s">
        <v>716</v>
      </c>
      <c r="E170" s="16">
        <v>45959</v>
      </c>
      <c r="F170" s="15" t="s">
        <v>170</v>
      </c>
      <c r="G170" s="15" t="s">
        <v>124</v>
      </c>
      <c r="H170" s="15" t="s">
        <v>125</v>
      </c>
      <c r="I170" s="15" t="s">
        <v>295</v>
      </c>
      <c r="J170" s="17">
        <v>4</v>
      </c>
      <c r="K170" s="15" t="s">
        <v>173</v>
      </c>
      <c r="L170" s="15" t="s">
        <v>247</v>
      </c>
      <c r="M170" s="15"/>
      <c r="N170" s="15" t="s">
        <v>130</v>
      </c>
      <c r="O170" s="17">
        <v>3</v>
      </c>
      <c r="P170" s="17">
        <v>38</v>
      </c>
      <c r="Q170" s="15"/>
    </row>
    <row r="171" spans="1:17" x14ac:dyDescent="0.3">
      <c r="A171" s="15" t="s">
        <v>717</v>
      </c>
      <c r="B171" s="16">
        <v>46039</v>
      </c>
      <c r="C171" s="15" t="s">
        <v>325</v>
      </c>
      <c r="D171" s="15" t="s">
        <v>657</v>
      </c>
      <c r="E171" s="16">
        <v>45966</v>
      </c>
      <c r="F171" s="15" t="s">
        <v>198</v>
      </c>
      <c r="G171" s="15" t="s">
        <v>216</v>
      </c>
      <c r="H171" s="15" t="s">
        <v>125</v>
      </c>
      <c r="I171" s="15" t="s">
        <v>126</v>
      </c>
      <c r="J171" s="17">
        <v>2</v>
      </c>
      <c r="K171" s="15" t="s">
        <v>251</v>
      </c>
      <c r="L171" s="15" t="s">
        <v>140</v>
      </c>
      <c r="M171" s="15"/>
      <c r="N171" s="15" t="s">
        <v>130</v>
      </c>
      <c r="O171" s="17">
        <v>4</v>
      </c>
      <c r="P171" s="17">
        <v>42</v>
      </c>
      <c r="Q171" s="15"/>
    </row>
    <row r="172" spans="1:17" x14ac:dyDescent="0.3">
      <c r="A172" s="15" t="s">
        <v>718</v>
      </c>
      <c r="B172" s="16">
        <v>46015</v>
      </c>
      <c r="C172" s="15" t="s">
        <v>719</v>
      </c>
      <c r="D172" s="15" t="s">
        <v>720</v>
      </c>
      <c r="E172" s="16">
        <v>46013</v>
      </c>
      <c r="F172" s="15" t="s">
        <v>259</v>
      </c>
      <c r="G172" s="15" t="s">
        <v>178</v>
      </c>
      <c r="H172" s="15" t="s">
        <v>179</v>
      </c>
      <c r="I172" s="15" t="s">
        <v>398</v>
      </c>
      <c r="J172" s="17">
        <v>4</v>
      </c>
      <c r="K172" s="15" t="s">
        <v>260</v>
      </c>
      <c r="L172" s="15" t="s">
        <v>128</v>
      </c>
      <c r="M172" s="15"/>
      <c r="N172" s="15" t="s">
        <v>130</v>
      </c>
      <c r="O172" s="17">
        <v>4</v>
      </c>
      <c r="P172" s="17">
        <v>42</v>
      </c>
      <c r="Q172" s="15"/>
    </row>
    <row r="173" spans="1:17" x14ac:dyDescent="0.3">
      <c r="A173" s="15" t="s">
        <v>721</v>
      </c>
      <c r="B173" s="16">
        <v>45948</v>
      </c>
      <c r="C173" s="15" t="s">
        <v>662</v>
      </c>
      <c r="D173" s="15" t="s">
        <v>722</v>
      </c>
      <c r="E173" s="16">
        <v>45948</v>
      </c>
      <c r="F173" s="15" t="s">
        <v>206</v>
      </c>
      <c r="G173" s="15" t="s">
        <v>199</v>
      </c>
      <c r="H173" s="15" t="s">
        <v>179</v>
      </c>
      <c r="I173" s="15" t="s">
        <v>723</v>
      </c>
      <c r="J173" s="17">
        <v>3</v>
      </c>
      <c r="K173" s="15" t="s">
        <v>353</v>
      </c>
      <c r="L173" s="15" t="s">
        <v>140</v>
      </c>
      <c r="M173" s="15" t="s">
        <v>188</v>
      </c>
      <c r="N173" s="15" t="s">
        <v>279</v>
      </c>
      <c r="O173" s="15"/>
      <c r="P173" s="17">
        <v>50</v>
      </c>
      <c r="Q173" s="15"/>
    </row>
    <row r="174" spans="1:17" x14ac:dyDescent="0.3">
      <c r="A174" s="15" t="s">
        <v>724</v>
      </c>
      <c r="B174" s="16">
        <v>45901</v>
      </c>
      <c r="C174" s="15" t="s">
        <v>552</v>
      </c>
      <c r="D174" s="15" t="s">
        <v>553</v>
      </c>
      <c r="E174" s="16">
        <v>45901</v>
      </c>
      <c r="F174" s="15" t="s">
        <v>170</v>
      </c>
      <c r="G174" s="15" t="s">
        <v>199</v>
      </c>
      <c r="H174" s="15" t="s">
        <v>179</v>
      </c>
      <c r="I174" s="15" t="s">
        <v>465</v>
      </c>
      <c r="J174" s="17">
        <v>2</v>
      </c>
      <c r="K174" s="15" t="s">
        <v>173</v>
      </c>
      <c r="L174" s="15" t="s">
        <v>128</v>
      </c>
      <c r="M174" s="15"/>
      <c r="N174" s="15" t="s">
        <v>130</v>
      </c>
      <c r="O174" s="17">
        <v>2</v>
      </c>
      <c r="P174" s="17">
        <v>30</v>
      </c>
      <c r="Q174" s="15"/>
    </row>
    <row r="175" spans="1:17" x14ac:dyDescent="0.3">
      <c r="A175" s="15" t="s">
        <v>725</v>
      </c>
      <c r="B175" s="16">
        <v>45959</v>
      </c>
      <c r="C175" s="15" t="s">
        <v>726</v>
      </c>
      <c r="D175" s="15" t="s">
        <v>727</v>
      </c>
      <c r="E175" s="16">
        <v>45874</v>
      </c>
      <c r="F175" s="15" t="s">
        <v>259</v>
      </c>
      <c r="G175" s="15" t="s">
        <v>216</v>
      </c>
      <c r="H175" s="15" t="s">
        <v>125</v>
      </c>
      <c r="I175" s="15" t="s">
        <v>571</v>
      </c>
      <c r="J175" s="17">
        <v>3</v>
      </c>
      <c r="K175" s="15" t="s">
        <v>260</v>
      </c>
      <c r="L175" s="15" t="s">
        <v>247</v>
      </c>
      <c r="M175" s="15"/>
      <c r="N175" s="15" t="s">
        <v>130</v>
      </c>
      <c r="O175" s="17">
        <v>3</v>
      </c>
      <c r="P175" s="17">
        <v>59</v>
      </c>
      <c r="Q175" s="15" t="s">
        <v>224</v>
      </c>
    </row>
    <row r="176" spans="1:17" x14ac:dyDescent="0.3">
      <c r="A176" s="15" t="s">
        <v>728</v>
      </c>
      <c r="B176" s="16">
        <v>45951</v>
      </c>
      <c r="C176" s="15" t="s">
        <v>729</v>
      </c>
      <c r="D176" s="15" t="s">
        <v>730</v>
      </c>
      <c r="E176" s="16">
        <v>45951</v>
      </c>
      <c r="F176" s="15" t="s">
        <v>123</v>
      </c>
      <c r="G176" s="15" t="s">
        <v>136</v>
      </c>
      <c r="H176" s="15" t="s">
        <v>137</v>
      </c>
      <c r="I176" s="15" t="s">
        <v>593</v>
      </c>
      <c r="J176" s="17">
        <v>2</v>
      </c>
      <c r="K176" s="15" t="s">
        <v>290</v>
      </c>
      <c r="L176" s="15" t="s">
        <v>159</v>
      </c>
      <c r="M176" s="15"/>
      <c r="N176" s="15" t="s">
        <v>130</v>
      </c>
      <c r="O176" s="17">
        <v>3</v>
      </c>
      <c r="P176" s="17">
        <v>41</v>
      </c>
      <c r="Q176" s="15" t="s">
        <v>150</v>
      </c>
    </row>
    <row r="177" spans="1:17" x14ac:dyDescent="0.3">
      <c r="A177" s="15" t="s">
        <v>731</v>
      </c>
      <c r="B177" s="16">
        <v>46034</v>
      </c>
      <c r="C177" s="15" t="s">
        <v>732</v>
      </c>
      <c r="D177" s="15" t="s">
        <v>733</v>
      </c>
      <c r="E177" s="16">
        <v>45874</v>
      </c>
      <c r="F177" s="15" t="s">
        <v>123</v>
      </c>
      <c r="G177" s="15" t="s">
        <v>178</v>
      </c>
      <c r="H177" s="15" t="s">
        <v>179</v>
      </c>
      <c r="I177" s="15" t="s">
        <v>734</v>
      </c>
      <c r="J177" s="17">
        <v>3</v>
      </c>
      <c r="K177" s="15" t="s">
        <v>166</v>
      </c>
      <c r="L177" s="15" t="s">
        <v>247</v>
      </c>
      <c r="M177" s="15" t="s">
        <v>129</v>
      </c>
      <c r="N177" s="15" t="s">
        <v>130</v>
      </c>
      <c r="O177" s="17">
        <v>5</v>
      </c>
      <c r="P177" s="17">
        <v>29</v>
      </c>
      <c r="Q177" s="15"/>
    </row>
    <row r="178" spans="1:17" x14ac:dyDescent="0.3">
      <c r="A178" s="15" t="s">
        <v>735</v>
      </c>
      <c r="B178" s="16">
        <v>45965</v>
      </c>
      <c r="C178" s="15" t="s">
        <v>736</v>
      </c>
      <c r="D178" s="15" t="s">
        <v>628</v>
      </c>
      <c r="E178" s="16">
        <v>45956</v>
      </c>
      <c r="F178" s="15" t="s">
        <v>123</v>
      </c>
      <c r="G178" s="15" t="s">
        <v>171</v>
      </c>
      <c r="H178" s="15" t="s">
        <v>147</v>
      </c>
      <c r="I178" s="15" t="s">
        <v>559</v>
      </c>
      <c r="J178" s="17">
        <v>1</v>
      </c>
      <c r="K178" s="15" t="s">
        <v>127</v>
      </c>
      <c r="L178" s="15" t="s">
        <v>159</v>
      </c>
      <c r="M178" s="15"/>
      <c r="N178" s="15" t="s">
        <v>279</v>
      </c>
      <c r="O178" s="15"/>
      <c r="P178" s="17">
        <v>36</v>
      </c>
      <c r="Q178" s="15" t="s">
        <v>280</v>
      </c>
    </row>
    <row r="179" spans="1:17" x14ac:dyDescent="0.3">
      <c r="A179" s="15" t="s">
        <v>737</v>
      </c>
      <c r="B179" s="16">
        <v>45910</v>
      </c>
      <c r="C179" s="15" t="s">
        <v>738</v>
      </c>
      <c r="D179" s="15" t="s">
        <v>739</v>
      </c>
      <c r="E179" s="16">
        <v>45908</v>
      </c>
      <c r="F179" s="15" t="s">
        <v>170</v>
      </c>
      <c r="G179" s="15" t="s">
        <v>331</v>
      </c>
      <c r="H179" s="15" t="s">
        <v>164</v>
      </c>
      <c r="I179" s="15" t="s">
        <v>521</v>
      </c>
      <c r="J179" s="17">
        <v>1</v>
      </c>
      <c r="K179" s="15" t="s">
        <v>158</v>
      </c>
      <c r="L179" s="15" t="s">
        <v>278</v>
      </c>
      <c r="M179" s="15" t="s">
        <v>255</v>
      </c>
      <c r="N179" s="15" t="s">
        <v>130</v>
      </c>
      <c r="O179" s="17">
        <v>3</v>
      </c>
      <c r="P179" s="17">
        <v>25</v>
      </c>
      <c r="Q179" s="15"/>
    </row>
    <row r="180" spans="1:17" x14ac:dyDescent="0.3">
      <c r="A180" s="15" t="s">
        <v>740</v>
      </c>
      <c r="B180" s="16">
        <v>45961</v>
      </c>
      <c r="C180" s="15" t="s">
        <v>741</v>
      </c>
      <c r="D180" s="15" t="s">
        <v>268</v>
      </c>
      <c r="E180" s="16">
        <v>45961</v>
      </c>
      <c r="F180" s="15" t="s">
        <v>135</v>
      </c>
      <c r="G180" s="15" t="s">
        <v>171</v>
      </c>
      <c r="H180" s="15" t="s">
        <v>147</v>
      </c>
      <c r="I180" s="15" t="s">
        <v>742</v>
      </c>
      <c r="J180" s="17">
        <v>2</v>
      </c>
      <c r="K180" s="15" t="s">
        <v>265</v>
      </c>
      <c r="L180" s="15" t="s">
        <v>247</v>
      </c>
      <c r="M180" s="15" t="s">
        <v>182</v>
      </c>
      <c r="N180" s="15" t="s">
        <v>279</v>
      </c>
      <c r="O180" s="15"/>
      <c r="P180" s="17">
        <v>21</v>
      </c>
      <c r="Q180" s="15" t="s">
        <v>284</v>
      </c>
    </row>
    <row r="181" spans="1:17" x14ac:dyDescent="0.3">
      <c r="A181" s="15" t="s">
        <v>743</v>
      </c>
      <c r="B181" s="16">
        <v>46025</v>
      </c>
      <c r="C181" s="15" t="s">
        <v>458</v>
      </c>
      <c r="D181" s="15" t="s">
        <v>371</v>
      </c>
      <c r="E181" s="16">
        <v>45871</v>
      </c>
      <c r="F181" s="15" t="s">
        <v>177</v>
      </c>
      <c r="G181" s="15" t="s">
        <v>178</v>
      </c>
      <c r="H181" s="15" t="s">
        <v>179</v>
      </c>
      <c r="I181" s="15" t="s">
        <v>465</v>
      </c>
      <c r="J181" s="17">
        <v>1</v>
      </c>
      <c r="K181" s="15" t="s">
        <v>713</v>
      </c>
      <c r="L181" s="15" t="s">
        <v>159</v>
      </c>
      <c r="M181" s="15"/>
      <c r="N181" s="15" t="s">
        <v>130</v>
      </c>
      <c r="O181" s="17">
        <v>4</v>
      </c>
      <c r="P181" s="17">
        <v>23</v>
      </c>
      <c r="Q181" s="15"/>
    </row>
    <row r="182" spans="1:17" x14ac:dyDescent="0.3">
      <c r="A182" s="15" t="s">
        <v>744</v>
      </c>
      <c r="B182" s="16">
        <v>45953</v>
      </c>
      <c r="C182" s="15" t="s">
        <v>745</v>
      </c>
      <c r="D182" s="15" t="s">
        <v>478</v>
      </c>
      <c r="E182" s="16">
        <v>45953</v>
      </c>
      <c r="F182" s="15" t="s">
        <v>206</v>
      </c>
      <c r="G182" s="15" t="s">
        <v>171</v>
      </c>
      <c r="H182" s="15" t="s">
        <v>147</v>
      </c>
      <c r="I182" s="15" t="s">
        <v>222</v>
      </c>
      <c r="J182" s="17">
        <v>3</v>
      </c>
      <c r="K182" s="15" t="s">
        <v>298</v>
      </c>
      <c r="L182" s="15" t="s">
        <v>278</v>
      </c>
      <c r="M182" s="15" t="s">
        <v>188</v>
      </c>
      <c r="N182" s="15" t="s">
        <v>130</v>
      </c>
      <c r="O182" s="17">
        <v>5</v>
      </c>
      <c r="P182" s="17">
        <v>36</v>
      </c>
      <c r="Q182" s="15"/>
    </row>
    <row r="183" spans="1:17" x14ac:dyDescent="0.3">
      <c r="A183" s="15" t="s">
        <v>746</v>
      </c>
      <c r="B183" s="16">
        <v>45999</v>
      </c>
      <c r="C183" s="15" t="s">
        <v>747</v>
      </c>
      <c r="D183" s="15" t="s">
        <v>748</v>
      </c>
      <c r="E183" s="16">
        <v>45997</v>
      </c>
      <c r="F183" s="15" t="s">
        <v>198</v>
      </c>
      <c r="G183" s="15" t="s">
        <v>178</v>
      </c>
      <c r="H183" s="15" t="s">
        <v>179</v>
      </c>
      <c r="I183" s="15" t="s">
        <v>398</v>
      </c>
      <c r="J183" s="17">
        <v>1</v>
      </c>
      <c r="K183" s="15" t="s">
        <v>251</v>
      </c>
      <c r="L183" s="15" t="s">
        <v>159</v>
      </c>
      <c r="M183" s="15"/>
      <c r="N183" s="15" t="s">
        <v>130</v>
      </c>
      <c r="O183" s="17">
        <v>4</v>
      </c>
      <c r="P183" s="17">
        <v>47</v>
      </c>
      <c r="Q183" s="15" t="s">
        <v>291</v>
      </c>
    </row>
    <row r="184" spans="1:17" x14ac:dyDescent="0.3">
      <c r="A184" s="15" t="s">
        <v>749</v>
      </c>
      <c r="B184" s="16">
        <v>45951</v>
      </c>
      <c r="C184" s="15" t="s">
        <v>750</v>
      </c>
      <c r="D184" s="15" t="s">
        <v>751</v>
      </c>
      <c r="E184" s="16">
        <v>45880</v>
      </c>
      <c r="F184" s="15" t="s">
        <v>435</v>
      </c>
      <c r="G184" s="15" t="s">
        <v>171</v>
      </c>
      <c r="H184" s="15" t="s">
        <v>147</v>
      </c>
      <c r="I184" s="15" t="s">
        <v>148</v>
      </c>
      <c r="J184" s="17">
        <v>4</v>
      </c>
      <c r="K184" s="15" t="s">
        <v>166</v>
      </c>
      <c r="L184" s="15" t="s">
        <v>128</v>
      </c>
      <c r="M184" s="15" t="s">
        <v>188</v>
      </c>
      <c r="N184" s="15" t="s">
        <v>279</v>
      </c>
      <c r="O184" s="15"/>
      <c r="P184" s="17">
        <v>480</v>
      </c>
      <c r="Q184" s="15"/>
    </row>
    <row r="185" spans="1:17" x14ac:dyDescent="0.3">
      <c r="A185" s="15" t="s">
        <v>752</v>
      </c>
      <c r="B185" s="16">
        <v>45971</v>
      </c>
      <c r="C185" s="15" t="s">
        <v>444</v>
      </c>
      <c r="D185" s="15" t="s">
        <v>753</v>
      </c>
      <c r="E185" s="16">
        <v>45947</v>
      </c>
      <c r="F185" s="15" t="s">
        <v>206</v>
      </c>
      <c r="G185" s="15" t="s">
        <v>124</v>
      </c>
      <c r="H185" s="15" t="s">
        <v>125</v>
      </c>
      <c r="I185" s="15" t="s">
        <v>295</v>
      </c>
      <c r="J185" s="17">
        <v>1</v>
      </c>
      <c r="K185" s="15" t="s">
        <v>298</v>
      </c>
      <c r="L185" s="15" t="s">
        <v>128</v>
      </c>
      <c r="M185" s="15" t="s">
        <v>182</v>
      </c>
      <c r="N185" s="15" t="s">
        <v>130</v>
      </c>
      <c r="O185" s="17">
        <v>5</v>
      </c>
      <c r="P185" s="17">
        <v>35</v>
      </c>
      <c r="Q185" s="15" t="s">
        <v>202</v>
      </c>
    </row>
    <row r="186" spans="1:17" x14ac:dyDescent="0.3">
      <c r="A186" s="15" t="s">
        <v>754</v>
      </c>
      <c r="B186" s="16">
        <v>45948</v>
      </c>
      <c r="C186" s="15" t="s">
        <v>755</v>
      </c>
      <c r="D186" s="15" t="s">
        <v>392</v>
      </c>
      <c r="E186" s="16">
        <v>45947</v>
      </c>
      <c r="F186" s="15" t="s">
        <v>206</v>
      </c>
      <c r="G186" s="15" t="s">
        <v>331</v>
      </c>
      <c r="H186" s="15" t="s">
        <v>164</v>
      </c>
      <c r="I186" s="15" t="s">
        <v>756</v>
      </c>
      <c r="J186" s="17">
        <v>2</v>
      </c>
      <c r="K186" s="15" t="s">
        <v>358</v>
      </c>
      <c r="L186" s="15" t="s">
        <v>128</v>
      </c>
      <c r="M186" s="15" t="s">
        <v>188</v>
      </c>
      <c r="N186" s="15" t="s">
        <v>130</v>
      </c>
      <c r="O186" s="17">
        <v>4</v>
      </c>
      <c r="P186" s="17">
        <v>35</v>
      </c>
      <c r="Q186" s="15" t="s">
        <v>364</v>
      </c>
    </row>
    <row r="187" spans="1:17" x14ac:dyDescent="0.3">
      <c r="A187" s="15" t="s">
        <v>757</v>
      </c>
      <c r="B187" s="16">
        <v>46031</v>
      </c>
      <c r="C187" s="15" t="s">
        <v>143</v>
      </c>
      <c r="D187" s="15" t="s">
        <v>758</v>
      </c>
      <c r="E187" s="16">
        <v>46030</v>
      </c>
      <c r="F187" s="15" t="s">
        <v>206</v>
      </c>
      <c r="G187" s="15" t="s">
        <v>136</v>
      </c>
      <c r="H187" s="15" t="s">
        <v>137</v>
      </c>
      <c r="I187" s="15" t="s">
        <v>759</v>
      </c>
      <c r="J187" s="17">
        <v>1</v>
      </c>
      <c r="K187" s="15" t="s">
        <v>208</v>
      </c>
      <c r="L187" s="15" t="s">
        <v>278</v>
      </c>
      <c r="M187" s="15"/>
      <c r="N187" s="15" t="s">
        <v>130</v>
      </c>
      <c r="O187" s="17">
        <v>5</v>
      </c>
      <c r="P187" s="17">
        <v>45</v>
      </c>
      <c r="Q187" s="15" t="s">
        <v>302</v>
      </c>
    </row>
    <row r="188" spans="1:17" x14ac:dyDescent="0.3">
      <c r="A188" s="15" t="s">
        <v>760</v>
      </c>
      <c r="B188" s="16">
        <v>45878</v>
      </c>
      <c r="C188" s="15" t="s">
        <v>761</v>
      </c>
      <c r="D188" s="15" t="s">
        <v>762</v>
      </c>
      <c r="E188" s="16">
        <v>45877</v>
      </c>
      <c r="F188" s="15" t="s">
        <v>198</v>
      </c>
      <c r="G188" s="15" t="s">
        <v>331</v>
      </c>
      <c r="H188" s="15" t="s">
        <v>164</v>
      </c>
      <c r="I188" s="15" t="s">
        <v>393</v>
      </c>
      <c r="J188" s="17">
        <v>1</v>
      </c>
      <c r="K188" s="15" t="s">
        <v>213</v>
      </c>
      <c r="L188" s="15" t="s">
        <v>247</v>
      </c>
      <c r="M188" s="15"/>
      <c r="N188" s="15" t="s">
        <v>130</v>
      </c>
      <c r="O188" s="17">
        <v>4</v>
      </c>
      <c r="P188" s="17">
        <v>31</v>
      </c>
      <c r="Q188" s="15"/>
    </row>
    <row r="189" spans="1:17" x14ac:dyDescent="0.3">
      <c r="A189" s="15" t="s">
        <v>763</v>
      </c>
      <c r="B189" s="16">
        <v>46025</v>
      </c>
      <c r="C189" s="15" t="s">
        <v>764</v>
      </c>
      <c r="D189" s="15" t="s">
        <v>765</v>
      </c>
      <c r="E189" s="16">
        <v>45767</v>
      </c>
      <c r="F189" s="15" t="s">
        <v>198</v>
      </c>
      <c r="G189" s="15" t="s">
        <v>199</v>
      </c>
      <c r="H189" s="15" t="s">
        <v>179</v>
      </c>
      <c r="I189" s="15" t="s">
        <v>512</v>
      </c>
      <c r="J189" s="17">
        <v>2</v>
      </c>
      <c r="K189" s="15" t="s">
        <v>251</v>
      </c>
      <c r="L189" s="15" t="s">
        <v>159</v>
      </c>
      <c r="M189" s="15"/>
      <c r="N189" s="15" t="s">
        <v>130</v>
      </c>
      <c r="O189" s="17">
        <v>4</v>
      </c>
      <c r="P189" s="17">
        <v>33</v>
      </c>
      <c r="Q189" s="15" t="s">
        <v>131</v>
      </c>
    </row>
    <row r="190" spans="1:17" x14ac:dyDescent="0.3">
      <c r="A190" s="15" t="s">
        <v>766</v>
      </c>
      <c r="B190" s="16">
        <v>45957</v>
      </c>
      <c r="C190" s="15" t="s">
        <v>767</v>
      </c>
      <c r="D190" s="15" t="s">
        <v>666</v>
      </c>
      <c r="E190" s="16">
        <v>45957</v>
      </c>
      <c r="F190" s="15" t="s">
        <v>135</v>
      </c>
      <c r="G190" s="15" t="s">
        <v>331</v>
      </c>
      <c r="H190" s="15" t="s">
        <v>164</v>
      </c>
      <c r="I190" s="15" t="s">
        <v>327</v>
      </c>
      <c r="J190" s="17">
        <v>1</v>
      </c>
      <c r="K190" s="15" t="s">
        <v>187</v>
      </c>
      <c r="L190" s="15" t="s">
        <v>128</v>
      </c>
      <c r="M190" s="15"/>
      <c r="N190" s="15" t="s">
        <v>130</v>
      </c>
      <c r="O190" s="17">
        <v>4</v>
      </c>
      <c r="P190" s="17">
        <v>29</v>
      </c>
      <c r="Q190" s="15" t="s">
        <v>141</v>
      </c>
    </row>
    <row r="191" spans="1:17" x14ac:dyDescent="0.3">
      <c r="A191" s="15" t="s">
        <v>768</v>
      </c>
      <c r="B191" s="16">
        <v>46028</v>
      </c>
      <c r="C191" s="15" t="s">
        <v>769</v>
      </c>
      <c r="D191" s="15" t="s">
        <v>122</v>
      </c>
      <c r="E191" s="16">
        <v>45955</v>
      </c>
      <c r="F191" s="15" t="s">
        <v>123</v>
      </c>
      <c r="G191" s="15" t="s">
        <v>216</v>
      </c>
      <c r="H191" s="15" t="s">
        <v>125</v>
      </c>
      <c r="I191" s="15" t="s">
        <v>295</v>
      </c>
      <c r="J191" s="17">
        <v>3</v>
      </c>
      <c r="K191" s="15" t="s">
        <v>290</v>
      </c>
      <c r="L191" s="15" t="s">
        <v>247</v>
      </c>
      <c r="M191" s="15" t="s">
        <v>336</v>
      </c>
      <c r="N191" s="15" t="s">
        <v>279</v>
      </c>
      <c r="O191" s="15"/>
      <c r="P191" s="17">
        <v>67</v>
      </c>
      <c r="Q191" s="15" t="s">
        <v>280</v>
      </c>
    </row>
    <row r="192" spans="1:17" x14ac:dyDescent="0.3">
      <c r="A192" s="15" t="s">
        <v>770</v>
      </c>
      <c r="B192" s="16">
        <v>45993</v>
      </c>
      <c r="C192" s="15" t="s">
        <v>771</v>
      </c>
      <c r="D192" s="15" t="s">
        <v>448</v>
      </c>
      <c r="E192" s="16">
        <v>45889</v>
      </c>
      <c r="F192" s="15" t="s">
        <v>206</v>
      </c>
      <c r="G192" s="15" t="s">
        <v>538</v>
      </c>
      <c r="H192" s="15" t="s">
        <v>351</v>
      </c>
      <c r="I192" s="15" t="s">
        <v>772</v>
      </c>
      <c r="J192" s="17">
        <v>4</v>
      </c>
      <c r="K192" s="15" t="s">
        <v>353</v>
      </c>
      <c r="L192" s="15" t="s">
        <v>159</v>
      </c>
      <c r="M192" s="15"/>
      <c r="N192" s="15" t="s">
        <v>130</v>
      </c>
      <c r="O192" s="17">
        <v>4</v>
      </c>
      <c r="P192" s="17">
        <v>35</v>
      </c>
      <c r="Q192" s="15"/>
    </row>
    <row r="193" spans="1:17" x14ac:dyDescent="0.3">
      <c r="A193" s="15" t="s">
        <v>773</v>
      </c>
      <c r="B193" s="16">
        <v>45992</v>
      </c>
      <c r="C193" s="15" t="s">
        <v>774</v>
      </c>
      <c r="D193" s="15" t="s">
        <v>775</v>
      </c>
      <c r="E193" s="16">
        <v>45820</v>
      </c>
      <c r="F193" s="15" t="s">
        <v>135</v>
      </c>
      <c r="G193" s="15" t="s">
        <v>339</v>
      </c>
      <c r="H193" s="15" t="s">
        <v>233</v>
      </c>
      <c r="I193" s="15" t="s">
        <v>776</v>
      </c>
      <c r="J193" s="17">
        <v>2</v>
      </c>
      <c r="K193" s="15" t="s">
        <v>277</v>
      </c>
      <c r="L193" s="15" t="s">
        <v>159</v>
      </c>
      <c r="M193" s="15"/>
      <c r="N193" s="15" t="s">
        <v>279</v>
      </c>
      <c r="O193" s="15"/>
      <c r="P193" s="17">
        <v>35</v>
      </c>
      <c r="Q193" s="15" t="s">
        <v>280</v>
      </c>
    </row>
    <row r="194" spans="1:17" x14ac:dyDescent="0.3">
      <c r="A194" s="15" t="s">
        <v>777</v>
      </c>
      <c r="B194" s="16">
        <v>46034</v>
      </c>
      <c r="C194" s="15" t="s">
        <v>433</v>
      </c>
      <c r="D194" s="15" t="s">
        <v>778</v>
      </c>
      <c r="E194" s="16">
        <v>45961</v>
      </c>
      <c r="F194" s="15" t="s">
        <v>170</v>
      </c>
      <c r="G194" s="15" t="s">
        <v>331</v>
      </c>
      <c r="H194" s="15" t="s">
        <v>164</v>
      </c>
      <c r="I194" s="15" t="s">
        <v>521</v>
      </c>
      <c r="J194" s="17">
        <v>2</v>
      </c>
      <c r="K194" s="15" t="s">
        <v>173</v>
      </c>
      <c r="L194" s="15" t="s">
        <v>128</v>
      </c>
      <c r="M194" s="15" t="s">
        <v>336</v>
      </c>
      <c r="N194" s="15" t="s">
        <v>130</v>
      </c>
      <c r="O194" s="17">
        <v>3</v>
      </c>
      <c r="P194" s="17">
        <v>52</v>
      </c>
      <c r="Q194" s="15" t="s">
        <v>241</v>
      </c>
    </row>
    <row r="195" spans="1:17" x14ac:dyDescent="0.3">
      <c r="A195" s="15" t="s">
        <v>779</v>
      </c>
      <c r="B195" s="16">
        <v>45901</v>
      </c>
      <c r="C195" s="15" t="s">
        <v>780</v>
      </c>
      <c r="D195" s="15" t="s">
        <v>781</v>
      </c>
      <c r="E195" s="16">
        <v>45722</v>
      </c>
      <c r="F195" s="15" t="s">
        <v>135</v>
      </c>
      <c r="G195" s="15" t="s">
        <v>199</v>
      </c>
      <c r="H195" s="15" t="s">
        <v>179</v>
      </c>
      <c r="I195" s="15" t="s">
        <v>465</v>
      </c>
      <c r="J195" s="17">
        <v>1</v>
      </c>
      <c r="K195" s="15" t="s">
        <v>139</v>
      </c>
      <c r="L195" s="15" t="s">
        <v>247</v>
      </c>
      <c r="M195" s="15"/>
      <c r="N195" s="15" t="s">
        <v>279</v>
      </c>
      <c r="O195" s="15"/>
      <c r="P195" s="17">
        <v>8</v>
      </c>
      <c r="Q195" s="15" t="s">
        <v>280</v>
      </c>
    </row>
    <row r="196" spans="1:17" x14ac:dyDescent="0.3">
      <c r="A196" s="15" t="s">
        <v>782</v>
      </c>
      <c r="B196" s="16">
        <v>46019</v>
      </c>
      <c r="C196" s="15" t="s">
        <v>168</v>
      </c>
      <c r="D196" s="15" t="s">
        <v>783</v>
      </c>
      <c r="E196" s="16">
        <v>45963</v>
      </c>
      <c r="F196" s="15" t="s">
        <v>170</v>
      </c>
      <c r="G196" s="15" t="s">
        <v>339</v>
      </c>
      <c r="H196" s="15" t="s">
        <v>233</v>
      </c>
      <c r="I196" s="15" t="s">
        <v>784</v>
      </c>
      <c r="J196" s="17">
        <v>1</v>
      </c>
      <c r="K196" s="15" t="s">
        <v>173</v>
      </c>
      <c r="L196" s="15" t="s">
        <v>128</v>
      </c>
      <c r="M196" s="15"/>
      <c r="N196" s="15" t="s">
        <v>130</v>
      </c>
      <c r="O196" s="17">
        <v>3</v>
      </c>
      <c r="P196" s="17">
        <v>36</v>
      </c>
      <c r="Q196" s="15" t="s">
        <v>194</v>
      </c>
    </row>
    <row r="197" spans="1:17" x14ac:dyDescent="0.3">
      <c r="A197" s="15" t="s">
        <v>785</v>
      </c>
      <c r="B197" s="16">
        <v>45939</v>
      </c>
      <c r="C197" s="15" t="s">
        <v>483</v>
      </c>
      <c r="D197" s="15" t="s">
        <v>484</v>
      </c>
      <c r="E197" s="16">
        <v>45937</v>
      </c>
      <c r="F197" s="15" t="s">
        <v>145</v>
      </c>
      <c r="G197" s="15" t="s">
        <v>178</v>
      </c>
      <c r="H197" s="15" t="s">
        <v>179</v>
      </c>
      <c r="I197" s="15" t="s">
        <v>368</v>
      </c>
      <c r="J197" s="17">
        <v>3</v>
      </c>
      <c r="K197" s="15" t="s">
        <v>149</v>
      </c>
      <c r="L197" s="15" t="s">
        <v>159</v>
      </c>
      <c r="M197" s="15" t="s">
        <v>188</v>
      </c>
      <c r="N197" s="15" t="s">
        <v>130</v>
      </c>
      <c r="O197" s="17">
        <v>3</v>
      </c>
      <c r="P197" s="17">
        <v>52</v>
      </c>
      <c r="Q197" s="15"/>
    </row>
    <row r="198" spans="1:17" x14ac:dyDescent="0.3">
      <c r="A198" s="15" t="s">
        <v>786</v>
      </c>
      <c r="B198" s="16">
        <v>45995</v>
      </c>
      <c r="C198" s="15" t="s">
        <v>338</v>
      </c>
      <c r="D198" s="15" t="s">
        <v>335</v>
      </c>
      <c r="E198" s="16">
        <v>45964</v>
      </c>
      <c r="F198" s="15" t="s">
        <v>135</v>
      </c>
      <c r="G198" s="15" t="s">
        <v>146</v>
      </c>
      <c r="H198" s="15" t="s">
        <v>147</v>
      </c>
      <c r="I198" s="15" t="s">
        <v>787</v>
      </c>
      <c r="J198" s="17">
        <v>2</v>
      </c>
      <c r="K198" s="15" t="s">
        <v>139</v>
      </c>
      <c r="L198" s="15" t="s">
        <v>140</v>
      </c>
      <c r="M198" s="15" t="s">
        <v>518</v>
      </c>
      <c r="N198" s="15" t="s">
        <v>130</v>
      </c>
      <c r="O198" s="17">
        <v>5</v>
      </c>
      <c r="P198" s="17">
        <v>25</v>
      </c>
      <c r="Q198" s="15"/>
    </row>
    <row r="199" spans="1:17" x14ac:dyDescent="0.3">
      <c r="A199" s="15" t="s">
        <v>788</v>
      </c>
      <c r="B199" s="16">
        <v>45962</v>
      </c>
      <c r="C199" s="15" t="s">
        <v>789</v>
      </c>
      <c r="D199" s="15" t="s">
        <v>790</v>
      </c>
      <c r="E199" s="16">
        <v>45956</v>
      </c>
      <c r="F199" s="15" t="s">
        <v>170</v>
      </c>
      <c r="G199" s="15" t="s">
        <v>163</v>
      </c>
      <c r="H199" s="15" t="s">
        <v>164</v>
      </c>
      <c r="I199" s="15" t="s">
        <v>372</v>
      </c>
      <c r="J199" s="17">
        <v>2</v>
      </c>
      <c r="K199" s="15" t="s">
        <v>158</v>
      </c>
      <c r="L199" s="15" t="s">
        <v>247</v>
      </c>
      <c r="M199" s="15" t="s">
        <v>182</v>
      </c>
      <c r="N199" s="15" t="s">
        <v>130</v>
      </c>
      <c r="O199" s="17">
        <v>2</v>
      </c>
      <c r="P199" s="17">
        <v>46</v>
      </c>
      <c r="Q199" s="15"/>
    </row>
    <row r="200" spans="1:17" x14ac:dyDescent="0.3">
      <c r="A200" s="15" t="s">
        <v>791</v>
      </c>
      <c r="B200" s="16">
        <v>46046</v>
      </c>
      <c r="C200" s="15" t="s">
        <v>792</v>
      </c>
      <c r="D200" s="15" t="s">
        <v>793</v>
      </c>
      <c r="E200" s="16">
        <v>45955</v>
      </c>
      <c r="F200" s="15" t="s">
        <v>177</v>
      </c>
      <c r="G200" s="15" t="s">
        <v>178</v>
      </c>
      <c r="H200" s="15" t="s">
        <v>179</v>
      </c>
      <c r="I200" s="15" t="s">
        <v>368</v>
      </c>
      <c r="J200" s="17">
        <v>1</v>
      </c>
      <c r="K200" s="15" t="s">
        <v>713</v>
      </c>
      <c r="L200" s="15" t="s">
        <v>128</v>
      </c>
      <c r="M200" s="15"/>
      <c r="N200" s="15" t="s">
        <v>130</v>
      </c>
      <c r="O200" s="17">
        <v>5</v>
      </c>
      <c r="P200" s="17">
        <v>35</v>
      </c>
      <c r="Q200" s="15"/>
    </row>
    <row r="201" spans="1:17" x14ac:dyDescent="0.3">
      <c r="A201" s="15" t="s">
        <v>794</v>
      </c>
      <c r="B201" s="16">
        <v>45871</v>
      </c>
      <c r="C201" s="15" t="s">
        <v>795</v>
      </c>
      <c r="D201" s="15" t="s">
        <v>796</v>
      </c>
      <c r="E201" s="16">
        <v>45827</v>
      </c>
      <c r="F201" s="15" t="s">
        <v>198</v>
      </c>
      <c r="G201" s="15" t="s">
        <v>216</v>
      </c>
      <c r="H201" s="15" t="s">
        <v>125</v>
      </c>
      <c r="I201" s="15" t="s">
        <v>217</v>
      </c>
      <c r="J201" s="17">
        <v>1</v>
      </c>
      <c r="K201" s="15" t="s">
        <v>201</v>
      </c>
      <c r="L201" s="15" t="s">
        <v>159</v>
      </c>
      <c r="M201" s="15"/>
      <c r="N201" s="15" t="s">
        <v>130</v>
      </c>
      <c r="O201" s="17">
        <v>4</v>
      </c>
      <c r="P201" s="17">
        <v>36</v>
      </c>
      <c r="Q201" s="15"/>
    </row>
    <row r="202" spans="1:17" x14ac:dyDescent="0.3">
      <c r="A202" s="15" t="s">
        <v>797</v>
      </c>
      <c r="B202" s="16">
        <v>45996</v>
      </c>
      <c r="C202" s="15" t="s">
        <v>798</v>
      </c>
      <c r="D202" s="15" t="s">
        <v>799</v>
      </c>
      <c r="E202" s="16">
        <v>45950</v>
      </c>
      <c r="F202" s="15" t="s">
        <v>145</v>
      </c>
      <c r="G202" s="15" t="s">
        <v>232</v>
      </c>
      <c r="H202" s="15" t="s">
        <v>233</v>
      </c>
      <c r="I202" s="15" t="s">
        <v>246</v>
      </c>
      <c r="J202" s="17">
        <v>2</v>
      </c>
      <c r="K202" s="15" t="s">
        <v>450</v>
      </c>
      <c r="L202" s="15" t="s">
        <v>128</v>
      </c>
      <c r="M202" s="15"/>
      <c r="N202" s="15" t="s">
        <v>130</v>
      </c>
      <c r="O202" s="17">
        <v>2</v>
      </c>
      <c r="P202" s="17">
        <v>57</v>
      </c>
      <c r="Q202" s="15"/>
    </row>
    <row r="203" spans="1:17" x14ac:dyDescent="0.3">
      <c r="A203" s="15" t="s">
        <v>800</v>
      </c>
      <c r="B203" s="16">
        <v>45900</v>
      </c>
      <c r="C203" s="15" t="s">
        <v>801</v>
      </c>
      <c r="D203" s="15" t="s">
        <v>775</v>
      </c>
      <c r="E203" s="16">
        <v>45820</v>
      </c>
      <c r="F203" s="15" t="s">
        <v>145</v>
      </c>
      <c r="G203" s="15" t="s">
        <v>155</v>
      </c>
      <c r="H203" s="15" t="s">
        <v>156</v>
      </c>
      <c r="I203" s="15" t="s">
        <v>389</v>
      </c>
      <c r="J203" s="17">
        <v>1</v>
      </c>
      <c r="K203" s="15" t="s">
        <v>307</v>
      </c>
      <c r="L203" s="15" t="s">
        <v>159</v>
      </c>
      <c r="M203" s="15"/>
      <c r="N203" s="15" t="s">
        <v>130</v>
      </c>
      <c r="O203" s="17">
        <v>4</v>
      </c>
      <c r="P203" s="17">
        <v>46</v>
      </c>
      <c r="Q203" s="15"/>
    </row>
    <row r="204" spans="1:17" x14ac:dyDescent="0.3">
      <c r="A204" s="15" t="s">
        <v>802</v>
      </c>
      <c r="B204" s="16">
        <v>46020</v>
      </c>
      <c r="C204" s="15" t="s">
        <v>803</v>
      </c>
      <c r="D204" s="15" t="s">
        <v>312</v>
      </c>
      <c r="E204" s="16">
        <v>45957</v>
      </c>
      <c r="F204" s="15" t="s">
        <v>135</v>
      </c>
      <c r="G204" s="15" t="s">
        <v>232</v>
      </c>
      <c r="H204" s="15" t="s">
        <v>233</v>
      </c>
      <c r="I204" s="15" t="s">
        <v>301</v>
      </c>
      <c r="J204" s="17">
        <v>1</v>
      </c>
      <c r="K204" s="15" t="s">
        <v>223</v>
      </c>
      <c r="L204" s="15" t="s">
        <v>128</v>
      </c>
      <c r="M204" s="15"/>
      <c r="N204" s="15" t="s">
        <v>235</v>
      </c>
      <c r="O204" s="15"/>
      <c r="P204" s="17">
        <v>24</v>
      </c>
      <c r="Q204" s="15"/>
    </row>
    <row r="205" spans="1:17" x14ac:dyDescent="0.3">
      <c r="A205" s="15" t="s">
        <v>804</v>
      </c>
      <c r="B205" s="16">
        <v>46036</v>
      </c>
      <c r="C205" s="15" t="s">
        <v>805</v>
      </c>
      <c r="D205" s="15" t="s">
        <v>806</v>
      </c>
      <c r="E205" s="16">
        <v>46036</v>
      </c>
      <c r="F205" s="15" t="s">
        <v>145</v>
      </c>
      <c r="G205" s="15" t="s">
        <v>350</v>
      </c>
      <c r="H205" s="15" t="s">
        <v>351</v>
      </c>
      <c r="I205" s="15" t="s">
        <v>539</v>
      </c>
      <c r="J205" s="17">
        <v>1</v>
      </c>
      <c r="K205" s="15" t="s">
        <v>149</v>
      </c>
      <c r="L205" s="15" t="s">
        <v>128</v>
      </c>
      <c r="M205" s="15"/>
      <c r="N205" s="15" t="s">
        <v>130</v>
      </c>
      <c r="O205" s="17">
        <v>3</v>
      </c>
      <c r="P205" s="17">
        <v>57</v>
      </c>
      <c r="Q205" s="15" t="s">
        <v>241</v>
      </c>
    </row>
    <row r="206" spans="1:17" x14ac:dyDescent="0.3">
      <c r="A206" s="15" t="s">
        <v>807</v>
      </c>
      <c r="B206" s="16">
        <v>45928</v>
      </c>
      <c r="C206" s="15" t="s">
        <v>808</v>
      </c>
      <c r="D206" s="15" t="s">
        <v>428</v>
      </c>
      <c r="E206" s="16">
        <v>45928</v>
      </c>
      <c r="F206" s="15" t="s">
        <v>135</v>
      </c>
      <c r="G206" s="15" t="s">
        <v>163</v>
      </c>
      <c r="H206" s="15" t="s">
        <v>164</v>
      </c>
      <c r="I206" s="15" t="s">
        <v>372</v>
      </c>
      <c r="J206" s="17">
        <v>3</v>
      </c>
      <c r="K206" s="15" t="s">
        <v>187</v>
      </c>
      <c r="L206" s="15" t="s">
        <v>159</v>
      </c>
      <c r="M206" s="15" t="s">
        <v>188</v>
      </c>
      <c r="N206" s="15" t="s">
        <v>130</v>
      </c>
      <c r="O206" s="17">
        <v>4</v>
      </c>
      <c r="P206" s="17">
        <v>29</v>
      </c>
      <c r="Q206" s="15"/>
    </row>
    <row r="207" spans="1:17" x14ac:dyDescent="0.3">
      <c r="A207" s="15" t="s">
        <v>809</v>
      </c>
      <c r="B207" s="16">
        <v>45931</v>
      </c>
      <c r="C207" s="15" t="s">
        <v>810</v>
      </c>
      <c r="D207" s="15" t="s">
        <v>640</v>
      </c>
      <c r="E207" s="16">
        <v>45911</v>
      </c>
      <c r="F207" s="15" t="s">
        <v>123</v>
      </c>
      <c r="G207" s="15" t="s">
        <v>339</v>
      </c>
      <c r="H207" s="15" t="s">
        <v>233</v>
      </c>
      <c r="I207" s="15" t="s">
        <v>811</v>
      </c>
      <c r="J207" s="17">
        <v>2</v>
      </c>
      <c r="K207" s="15" t="s">
        <v>127</v>
      </c>
      <c r="L207" s="15" t="s">
        <v>140</v>
      </c>
      <c r="M207" s="15" t="s">
        <v>129</v>
      </c>
      <c r="N207" s="15" t="s">
        <v>130</v>
      </c>
      <c r="O207" s="17">
        <v>4</v>
      </c>
      <c r="P207" s="17">
        <v>36</v>
      </c>
      <c r="Q207" s="15" t="s">
        <v>302</v>
      </c>
    </row>
    <row r="208" spans="1:17" x14ac:dyDescent="0.3">
      <c r="A208" s="15" t="s">
        <v>812</v>
      </c>
      <c r="B208" s="16">
        <v>45880</v>
      </c>
      <c r="C208" s="15" t="s">
        <v>813</v>
      </c>
      <c r="D208" s="15" t="s">
        <v>814</v>
      </c>
      <c r="E208" s="16">
        <v>45880</v>
      </c>
      <c r="F208" s="15" t="s">
        <v>259</v>
      </c>
      <c r="G208" s="15" t="s">
        <v>124</v>
      </c>
      <c r="H208" s="15" t="s">
        <v>125</v>
      </c>
      <c r="I208" s="15" t="s">
        <v>571</v>
      </c>
      <c r="J208" s="17">
        <v>3</v>
      </c>
      <c r="K208" s="15" t="s">
        <v>260</v>
      </c>
      <c r="L208" s="15" t="s">
        <v>128</v>
      </c>
      <c r="M208" s="15" t="s">
        <v>529</v>
      </c>
      <c r="N208" s="15" t="s">
        <v>130</v>
      </c>
      <c r="O208" s="17">
        <v>4</v>
      </c>
      <c r="P208" s="17">
        <v>53</v>
      </c>
      <c r="Q208" s="15" t="s">
        <v>202</v>
      </c>
    </row>
    <row r="209" spans="1:17" x14ac:dyDescent="0.3">
      <c r="A209" s="15" t="s">
        <v>815</v>
      </c>
      <c r="B209" s="16">
        <v>45964</v>
      </c>
      <c r="C209" s="15" t="s">
        <v>377</v>
      </c>
      <c r="D209" s="15" t="s">
        <v>378</v>
      </c>
      <c r="E209" s="16">
        <v>45962</v>
      </c>
      <c r="F209" s="15" t="s">
        <v>145</v>
      </c>
      <c r="G209" s="15" t="s">
        <v>288</v>
      </c>
      <c r="H209" s="15" t="s">
        <v>156</v>
      </c>
      <c r="I209" s="15" t="s">
        <v>317</v>
      </c>
      <c r="J209" s="17">
        <v>4</v>
      </c>
      <c r="K209" s="15" t="s">
        <v>307</v>
      </c>
      <c r="L209" s="15" t="s">
        <v>159</v>
      </c>
      <c r="M209" s="15" t="s">
        <v>182</v>
      </c>
      <c r="N209" s="15" t="s">
        <v>279</v>
      </c>
      <c r="O209" s="15"/>
      <c r="P209" s="17">
        <v>46</v>
      </c>
      <c r="Q209" s="15" t="s">
        <v>359</v>
      </c>
    </row>
    <row r="210" spans="1:17" x14ac:dyDescent="0.3">
      <c r="A210" s="15" t="s">
        <v>816</v>
      </c>
      <c r="B210" s="16">
        <v>46052</v>
      </c>
      <c r="C210" s="15" t="s">
        <v>817</v>
      </c>
      <c r="D210" s="15" t="s">
        <v>818</v>
      </c>
      <c r="E210" s="16">
        <v>46051</v>
      </c>
      <c r="F210" s="15" t="s">
        <v>177</v>
      </c>
      <c r="G210" s="15" t="s">
        <v>339</v>
      </c>
      <c r="H210" s="15" t="s">
        <v>233</v>
      </c>
      <c r="I210" s="15" t="s">
        <v>468</v>
      </c>
      <c r="J210" s="17">
        <v>1</v>
      </c>
      <c r="K210" s="15" t="s">
        <v>181</v>
      </c>
      <c r="L210" s="15" t="s">
        <v>159</v>
      </c>
      <c r="M210" s="15"/>
      <c r="N210" s="15"/>
      <c r="O210" s="17">
        <v>4</v>
      </c>
      <c r="P210" s="17">
        <v>22</v>
      </c>
      <c r="Q210" s="15" t="s">
        <v>202</v>
      </c>
    </row>
    <row r="211" spans="1:17" x14ac:dyDescent="0.3">
      <c r="A211" s="15" t="s">
        <v>819</v>
      </c>
      <c r="B211" s="16">
        <v>45890</v>
      </c>
      <c r="C211" s="15" t="s">
        <v>608</v>
      </c>
      <c r="D211" s="15" t="s">
        <v>448</v>
      </c>
      <c r="E211" s="16">
        <v>45889</v>
      </c>
      <c r="F211" s="15" t="s">
        <v>206</v>
      </c>
      <c r="G211" s="15" t="s">
        <v>199</v>
      </c>
      <c r="H211" s="15" t="s">
        <v>179</v>
      </c>
      <c r="I211" s="15" t="s">
        <v>297</v>
      </c>
      <c r="J211" s="17">
        <v>1</v>
      </c>
      <c r="K211" s="15" t="s">
        <v>358</v>
      </c>
      <c r="L211" s="15" t="s">
        <v>247</v>
      </c>
      <c r="M211" s="15"/>
      <c r="N211" s="15" t="s">
        <v>130</v>
      </c>
      <c r="O211" s="17">
        <v>5</v>
      </c>
      <c r="P211" s="17">
        <v>23</v>
      </c>
      <c r="Q211" s="15" t="s">
        <v>302</v>
      </c>
    </row>
    <row r="212" spans="1:17" x14ac:dyDescent="0.3">
      <c r="A212" s="15" t="s">
        <v>820</v>
      </c>
      <c r="B212" s="16">
        <v>45971</v>
      </c>
      <c r="C212" s="15" t="s">
        <v>821</v>
      </c>
      <c r="D212" s="15" t="s">
        <v>176</v>
      </c>
      <c r="E212" s="16">
        <v>45959</v>
      </c>
      <c r="F212" s="15" t="s">
        <v>145</v>
      </c>
      <c r="G212" s="15" t="s">
        <v>171</v>
      </c>
      <c r="H212" s="15" t="s">
        <v>147</v>
      </c>
      <c r="I212" s="15" t="s">
        <v>787</v>
      </c>
      <c r="J212" s="17">
        <v>1</v>
      </c>
      <c r="K212" s="15" t="s">
        <v>307</v>
      </c>
      <c r="L212" s="15" t="s">
        <v>159</v>
      </c>
      <c r="M212" s="15" t="s">
        <v>182</v>
      </c>
      <c r="N212" s="15" t="s">
        <v>130</v>
      </c>
      <c r="O212" s="17">
        <v>2</v>
      </c>
      <c r="P212" s="17">
        <v>57</v>
      </c>
      <c r="Q212" s="15"/>
    </row>
    <row r="213" spans="1:17" x14ac:dyDescent="0.3">
      <c r="A213" s="15" t="s">
        <v>822</v>
      </c>
      <c r="B213" s="16">
        <v>46038</v>
      </c>
      <c r="C213" s="15" t="s">
        <v>587</v>
      </c>
      <c r="D213" s="15" t="s">
        <v>244</v>
      </c>
      <c r="E213" s="16">
        <v>45814</v>
      </c>
      <c r="F213" s="15" t="s">
        <v>135</v>
      </c>
      <c r="G213" s="15" t="s">
        <v>192</v>
      </c>
      <c r="H213" s="15" t="s">
        <v>137</v>
      </c>
      <c r="I213" s="15" t="s">
        <v>269</v>
      </c>
      <c r="J213" s="17">
        <v>1</v>
      </c>
      <c r="K213" s="15" t="s">
        <v>265</v>
      </c>
      <c r="L213" s="15" t="s">
        <v>140</v>
      </c>
      <c r="M213" s="15" t="s">
        <v>240</v>
      </c>
      <c r="N213" s="15" t="s">
        <v>279</v>
      </c>
      <c r="O213" s="15"/>
      <c r="P213" s="17">
        <v>35</v>
      </c>
      <c r="Q213" s="15" t="s">
        <v>280</v>
      </c>
    </row>
    <row r="214" spans="1:17" x14ac:dyDescent="0.3">
      <c r="A214" s="15" t="s">
        <v>823</v>
      </c>
      <c r="B214" s="16">
        <v>46011</v>
      </c>
      <c r="C214" s="15" t="s">
        <v>824</v>
      </c>
      <c r="D214" s="15" t="s">
        <v>825</v>
      </c>
      <c r="E214" s="16">
        <v>45875</v>
      </c>
      <c r="F214" s="15" t="s">
        <v>154</v>
      </c>
      <c r="G214" s="15" t="s">
        <v>232</v>
      </c>
      <c r="H214" s="15" t="s">
        <v>233</v>
      </c>
      <c r="I214" s="15" t="s">
        <v>363</v>
      </c>
      <c r="J214" s="17">
        <v>3</v>
      </c>
      <c r="K214" s="15" t="s">
        <v>158</v>
      </c>
      <c r="L214" s="15" t="s">
        <v>247</v>
      </c>
      <c r="M214" s="15"/>
      <c r="N214" s="15" t="s">
        <v>130</v>
      </c>
      <c r="O214" s="17">
        <v>3</v>
      </c>
      <c r="P214" s="17">
        <v>38</v>
      </c>
      <c r="Q214" s="15" t="s">
        <v>826</v>
      </c>
    </row>
    <row r="215" spans="1:17" x14ac:dyDescent="0.3">
      <c r="A215" s="15" t="s">
        <v>827</v>
      </c>
      <c r="B215" s="16">
        <v>45906</v>
      </c>
      <c r="C215" s="15" t="s">
        <v>828</v>
      </c>
      <c r="D215" s="15" t="s">
        <v>598</v>
      </c>
      <c r="E215" s="16">
        <v>45904</v>
      </c>
      <c r="F215" s="15" t="s">
        <v>259</v>
      </c>
      <c r="G215" s="15" t="s">
        <v>171</v>
      </c>
      <c r="H215" s="15" t="s">
        <v>147</v>
      </c>
      <c r="I215" s="15" t="s">
        <v>829</v>
      </c>
      <c r="J215" s="17">
        <v>1</v>
      </c>
      <c r="K215" s="15" t="s">
        <v>260</v>
      </c>
      <c r="L215" s="15" t="s">
        <v>140</v>
      </c>
      <c r="M215" s="15"/>
      <c r="N215" s="15" t="s">
        <v>279</v>
      </c>
      <c r="O215" s="15"/>
      <c r="P215" s="17">
        <v>63</v>
      </c>
      <c r="Q215" s="15"/>
    </row>
    <row r="216" spans="1:17" x14ac:dyDescent="0.3">
      <c r="A216" s="15" t="s">
        <v>830</v>
      </c>
      <c r="B216" s="16">
        <v>45973</v>
      </c>
      <c r="C216" s="15" t="s">
        <v>623</v>
      </c>
      <c r="D216" s="15" t="s">
        <v>814</v>
      </c>
      <c r="E216" s="16">
        <v>45880</v>
      </c>
      <c r="F216" s="15" t="s">
        <v>170</v>
      </c>
      <c r="G216" s="15" t="s">
        <v>288</v>
      </c>
      <c r="H216" s="15" t="s">
        <v>156</v>
      </c>
      <c r="I216" s="15" t="s">
        <v>831</v>
      </c>
      <c r="J216" s="17">
        <v>2</v>
      </c>
      <c r="K216" s="15" t="s">
        <v>158</v>
      </c>
      <c r="L216" s="15" t="s">
        <v>128</v>
      </c>
      <c r="M216" s="15"/>
      <c r="N216" s="15" t="s">
        <v>130</v>
      </c>
      <c r="O216" s="17">
        <v>3</v>
      </c>
      <c r="P216" s="17">
        <v>46</v>
      </c>
      <c r="Q216" s="15" t="s">
        <v>826</v>
      </c>
    </row>
    <row r="217" spans="1:17" x14ac:dyDescent="0.3">
      <c r="A217" s="15" t="s">
        <v>832</v>
      </c>
      <c r="B217" s="16">
        <v>45961</v>
      </c>
      <c r="C217" s="15" t="s">
        <v>483</v>
      </c>
      <c r="D217" s="15" t="s">
        <v>833</v>
      </c>
      <c r="E217" s="16">
        <v>45956</v>
      </c>
      <c r="F217" s="15" t="s">
        <v>413</v>
      </c>
      <c r="G217" s="15" t="s">
        <v>538</v>
      </c>
      <c r="H217" s="15" t="s">
        <v>351</v>
      </c>
      <c r="I217" s="15" t="s">
        <v>352</v>
      </c>
      <c r="J217" s="17">
        <v>1</v>
      </c>
      <c r="K217" s="15" t="s">
        <v>223</v>
      </c>
      <c r="L217" s="15" t="s">
        <v>140</v>
      </c>
      <c r="M217" s="15" t="s">
        <v>182</v>
      </c>
      <c r="N217" s="15" t="s">
        <v>130</v>
      </c>
      <c r="O217" s="17">
        <v>5</v>
      </c>
      <c r="P217" s="17">
        <v>25</v>
      </c>
      <c r="Q217" s="15"/>
    </row>
    <row r="218" spans="1:17" x14ac:dyDescent="0.3">
      <c r="A218" s="15" t="s">
        <v>834</v>
      </c>
      <c r="B218" s="16">
        <v>45949</v>
      </c>
      <c r="C218" s="15" t="s">
        <v>835</v>
      </c>
      <c r="D218" s="15" t="s">
        <v>712</v>
      </c>
      <c r="E218" s="16">
        <v>45701</v>
      </c>
      <c r="F218" s="15" t="s">
        <v>170</v>
      </c>
      <c r="G218" s="15" t="s">
        <v>199</v>
      </c>
      <c r="H218" s="15" t="s">
        <v>179</v>
      </c>
      <c r="I218" s="15" t="s">
        <v>200</v>
      </c>
      <c r="J218" s="17">
        <v>4</v>
      </c>
      <c r="K218" s="15" t="s">
        <v>158</v>
      </c>
      <c r="L218" s="15" t="s">
        <v>278</v>
      </c>
      <c r="M218" s="15" t="s">
        <v>129</v>
      </c>
      <c r="N218" s="15" t="s">
        <v>130</v>
      </c>
      <c r="O218" s="17">
        <v>2</v>
      </c>
      <c r="P218" s="17">
        <v>28</v>
      </c>
      <c r="Q218" s="15" t="s">
        <v>241</v>
      </c>
    </row>
    <row r="219" spans="1:17" x14ac:dyDescent="0.3">
      <c r="A219" s="15" t="s">
        <v>836</v>
      </c>
      <c r="B219" s="16">
        <v>45966</v>
      </c>
      <c r="C219" s="15" t="s">
        <v>837</v>
      </c>
      <c r="D219" s="15" t="s">
        <v>838</v>
      </c>
      <c r="E219" s="16">
        <v>45835</v>
      </c>
      <c r="F219" s="15" t="s">
        <v>177</v>
      </c>
      <c r="G219" s="15" t="s">
        <v>155</v>
      </c>
      <c r="H219" s="15" t="s">
        <v>156</v>
      </c>
      <c r="I219" s="15" t="s">
        <v>317</v>
      </c>
      <c r="J219" s="17">
        <v>3</v>
      </c>
      <c r="K219" s="15" t="s">
        <v>713</v>
      </c>
      <c r="L219" s="15" t="s">
        <v>278</v>
      </c>
      <c r="M219" s="15" t="s">
        <v>182</v>
      </c>
      <c r="N219" s="15" t="s">
        <v>130</v>
      </c>
      <c r="O219" s="17">
        <v>5</v>
      </c>
      <c r="P219" s="17">
        <v>31</v>
      </c>
      <c r="Q219" s="15"/>
    </row>
    <row r="220" spans="1:17" x14ac:dyDescent="0.3">
      <c r="A220" s="15" t="s">
        <v>839</v>
      </c>
      <c r="B220" s="16">
        <v>45901</v>
      </c>
      <c r="C220" s="15" t="s">
        <v>840</v>
      </c>
      <c r="D220" s="15" t="s">
        <v>841</v>
      </c>
      <c r="E220" s="16">
        <v>45680</v>
      </c>
      <c r="F220" s="15" t="s">
        <v>206</v>
      </c>
      <c r="G220" s="15" t="s">
        <v>331</v>
      </c>
      <c r="H220" s="15" t="s">
        <v>164</v>
      </c>
      <c r="I220" s="15" t="s">
        <v>393</v>
      </c>
      <c r="J220" s="17">
        <v>2</v>
      </c>
      <c r="K220" s="15" t="s">
        <v>208</v>
      </c>
      <c r="L220" s="15" t="s">
        <v>140</v>
      </c>
      <c r="M220" s="15" t="s">
        <v>255</v>
      </c>
      <c r="N220" s="15" t="s">
        <v>235</v>
      </c>
      <c r="O220" s="15"/>
      <c r="P220" s="17">
        <v>55</v>
      </c>
      <c r="Q220" s="15" t="s">
        <v>284</v>
      </c>
    </row>
    <row r="221" spans="1:17" x14ac:dyDescent="0.3">
      <c r="A221" s="15" t="s">
        <v>842</v>
      </c>
      <c r="B221" s="16">
        <v>45950</v>
      </c>
      <c r="C221" s="15" t="s">
        <v>561</v>
      </c>
      <c r="D221" s="15" t="s">
        <v>642</v>
      </c>
      <c r="E221" s="16">
        <v>45886</v>
      </c>
      <c r="F221" s="15" t="s">
        <v>228</v>
      </c>
      <c r="G221" s="15" t="s">
        <v>155</v>
      </c>
      <c r="H221" s="15" t="s">
        <v>156</v>
      </c>
      <c r="I221" s="15" t="s">
        <v>389</v>
      </c>
      <c r="J221" s="17">
        <v>1</v>
      </c>
      <c r="K221" s="15" t="s">
        <v>277</v>
      </c>
      <c r="L221" s="15" t="s">
        <v>140</v>
      </c>
      <c r="M221" s="15" t="s">
        <v>240</v>
      </c>
      <c r="N221" s="15" t="s">
        <v>130</v>
      </c>
      <c r="O221" s="17">
        <v>4</v>
      </c>
      <c r="P221" s="17">
        <v>27</v>
      </c>
      <c r="Q221" s="15" t="s">
        <v>302</v>
      </c>
    </row>
    <row r="222" spans="1:17" x14ac:dyDescent="0.3">
      <c r="A222" s="15" t="s">
        <v>843</v>
      </c>
      <c r="B222" s="16">
        <v>45872</v>
      </c>
      <c r="C222" s="15" t="s">
        <v>844</v>
      </c>
      <c r="D222" s="15" t="s">
        <v>371</v>
      </c>
      <c r="E222" s="16">
        <v>45871</v>
      </c>
      <c r="F222" s="15" t="s">
        <v>401</v>
      </c>
      <c r="G222" s="15" t="s">
        <v>350</v>
      </c>
      <c r="H222" s="15" t="s">
        <v>351</v>
      </c>
      <c r="I222" s="15" t="s">
        <v>352</v>
      </c>
      <c r="J222" s="17">
        <v>2</v>
      </c>
      <c r="K222" s="15" t="s">
        <v>265</v>
      </c>
      <c r="L222" s="15" t="s">
        <v>128</v>
      </c>
      <c r="M222" s="15" t="s">
        <v>240</v>
      </c>
      <c r="N222" s="15" t="s">
        <v>130</v>
      </c>
      <c r="O222" s="17">
        <v>4</v>
      </c>
      <c r="P222" s="17">
        <v>27</v>
      </c>
      <c r="Q222" s="15" t="s">
        <v>291</v>
      </c>
    </row>
    <row r="223" spans="1:17" x14ac:dyDescent="0.3">
      <c r="A223" s="15" t="s">
        <v>845</v>
      </c>
      <c r="B223" s="16">
        <v>45956</v>
      </c>
      <c r="C223" s="15" t="s">
        <v>274</v>
      </c>
      <c r="D223" s="15" t="s">
        <v>275</v>
      </c>
      <c r="E223" s="16">
        <v>45956</v>
      </c>
      <c r="F223" s="15" t="s">
        <v>145</v>
      </c>
      <c r="G223" s="15" t="s">
        <v>331</v>
      </c>
      <c r="H223" s="15" t="s">
        <v>164</v>
      </c>
      <c r="I223" s="15" t="s">
        <v>327</v>
      </c>
      <c r="J223" s="17">
        <v>2</v>
      </c>
      <c r="K223" s="15" t="s">
        <v>450</v>
      </c>
      <c r="L223" s="15" t="s">
        <v>159</v>
      </c>
      <c r="M223" s="15" t="s">
        <v>182</v>
      </c>
      <c r="N223" s="15" t="s">
        <v>130</v>
      </c>
      <c r="O223" s="17">
        <v>2</v>
      </c>
      <c r="P223" s="17">
        <v>64</v>
      </c>
      <c r="Q223" s="15"/>
    </row>
    <row r="224" spans="1:17" x14ac:dyDescent="0.3">
      <c r="A224" s="15" t="s">
        <v>846</v>
      </c>
      <c r="B224" s="16">
        <v>46025</v>
      </c>
      <c r="C224" s="15" t="s">
        <v>613</v>
      </c>
      <c r="D224" s="15" t="s">
        <v>614</v>
      </c>
      <c r="E224" s="16">
        <v>45940</v>
      </c>
      <c r="F224" s="15" t="s">
        <v>145</v>
      </c>
      <c r="G224" s="15" t="s">
        <v>136</v>
      </c>
      <c r="H224" s="15" t="s">
        <v>137</v>
      </c>
      <c r="I224" s="15" t="s">
        <v>651</v>
      </c>
      <c r="J224" s="17">
        <v>1</v>
      </c>
      <c r="K224" s="15" t="s">
        <v>149</v>
      </c>
      <c r="L224" s="15" t="s">
        <v>128</v>
      </c>
      <c r="M224" s="15"/>
      <c r="N224" s="15" t="s">
        <v>130</v>
      </c>
      <c r="O224" s="17">
        <v>4</v>
      </c>
      <c r="P224" s="17">
        <v>66</v>
      </c>
      <c r="Q224" s="15" t="s">
        <v>291</v>
      </c>
    </row>
    <row r="225" spans="1:17" x14ac:dyDescent="0.3">
      <c r="A225" s="15" t="s">
        <v>847</v>
      </c>
      <c r="B225" s="16">
        <v>45894</v>
      </c>
      <c r="C225" s="15" t="s">
        <v>848</v>
      </c>
      <c r="D225" s="15" t="s">
        <v>547</v>
      </c>
      <c r="E225" s="16">
        <v>45892</v>
      </c>
      <c r="F225" s="15" t="s">
        <v>198</v>
      </c>
      <c r="G225" s="15" t="s">
        <v>192</v>
      </c>
      <c r="H225" s="15" t="s">
        <v>137</v>
      </c>
      <c r="I225" s="15" t="s">
        <v>849</v>
      </c>
      <c r="J225" s="17">
        <v>1</v>
      </c>
      <c r="K225" s="15" t="s">
        <v>251</v>
      </c>
      <c r="L225" s="15" t="s">
        <v>128</v>
      </c>
      <c r="M225" s="15" t="s">
        <v>255</v>
      </c>
      <c r="N225" s="15" t="s">
        <v>130</v>
      </c>
      <c r="O225" s="17">
        <v>5</v>
      </c>
      <c r="P225" s="17">
        <v>25</v>
      </c>
      <c r="Q225" s="15" t="s">
        <v>202</v>
      </c>
    </row>
    <row r="226" spans="1:17" x14ac:dyDescent="0.3">
      <c r="A226" s="15" t="s">
        <v>850</v>
      </c>
      <c r="B226" s="16">
        <v>45980</v>
      </c>
      <c r="C226" s="15" t="s">
        <v>282</v>
      </c>
      <c r="D226" s="15" t="s">
        <v>851</v>
      </c>
      <c r="E226" s="16">
        <v>45916</v>
      </c>
      <c r="F226" s="15" t="s">
        <v>198</v>
      </c>
      <c r="G226" s="15" t="s">
        <v>124</v>
      </c>
      <c r="H226" s="15" t="s">
        <v>125</v>
      </c>
      <c r="I226" s="15" t="s">
        <v>295</v>
      </c>
      <c r="J226" s="17">
        <v>2</v>
      </c>
      <c r="K226" s="15" t="s">
        <v>251</v>
      </c>
      <c r="L226" s="15" t="s">
        <v>140</v>
      </c>
      <c r="M226" s="15"/>
      <c r="N226" s="15" t="s">
        <v>279</v>
      </c>
      <c r="O226" s="15"/>
      <c r="P226" s="17">
        <v>29</v>
      </c>
      <c r="Q226" s="15" t="s">
        <v>280</v>
      </c>
    </row>
    <row r="227" spans="1:17" x14ac:dyDescent="0.3">
      <c r="A227" s="15" t="s">
        <v>852</v>
      </c>
      <c r="B227" s="16">
        <v>46052</v>
      </c>
      <c r="C227" s="15" t="s">
        <v>853</v>
      </c>
      <c r="D227" s="15" t="s">
        <v>781</v>
      </c>
      <c r="E227" s="16">
        <v>45722</v>
      </c>
      <c r="F227" s="15" t="s">
        <v>177</v>
      </c>
      <c r="G227" s="15" t="s">
        <v>232</v>
      </c>
      <c r="H227" s="15" t="s">
        <v>233</v>
      </c>
      <c r="I227" s="15" t="s">
        <v>499</v>
      </c>
      <c r="J227" s="17">
        <v>2</v>
      </c>
      <c r="K227" s="15" t="s">
        <v>713</v>
      </c>
      <c r="L227" s="15" t="s">
        <v>159</v>
      </c>
      <c r="M227" s="15"/>
      <c r="N227" s="15" t="s">
        <v>130</v>
      </c>
      <c r="O227" s="17">
        <v>4</v>
      </c>
      <c r="P227" s="17">
        <v>33</v>
      </c>
      <c r="Q227" s="15" t="s">
        <v>141</v>
      </c>
    </row>
    <row r="228" spans="1:17" x14ac:dyDescent="0.3">
      <c r="A228" s="15" t="s">
        <v>854</v>
      </c>
      <c r="B228" s="16">
        <v>45956</v>
      </c>
      <c r="C228" s="15" t="s">
        <v>380</v>
      </c>
      <c r="D228" s="15" t="s">
        <v>381</v>
      </c>
      <c r="E228" s="16">
        <v>45956</v>
      </c>
      <c r="F228" s="15" t="s">
        <v>145</v>
      </c>
      <c r="G228" s="15" t="s">
        <v>199</v>
      </c>
      <c r="H228" s="15" t="s">
        <v>179</v>
      </c>
      <c r="I228" s="15" t="s">
        <v>421</v>
      </c>
      <c r="J228" s="17">
        <v>2</v>
      </c>
      <c r="K228" s="15" t="s">
        <v>307</v>
      </c>
      <c r="L228" s="15" t="s">
        <v>159</v>
      </c>
      <c r="M228" s="15" t="s">
        <v>182</v>
      </c>
      <c r="N228" s="15" t="s">
        <v>130</v>
      </c>
      <c r="O228" s="17">
        <v>4</v>
      </c>
      <c r="P228" s="17">
        <v>47</v>
      </c>
      <c r="Q228" s="15" t="s">
        <v>131</v>
      </c>
    </row>
    <row r="229" spans="1:17" x14ac:dyDescent="0.3">
      <c r="A229" s="15" t="s">
        <v>855</v>
      </c>
      <c r="B229" s="16">
        <v>45996</v>
      </c>
      <c r="C229" s="15" t="s">
        <v>626</v>
      </c>
      <c r="D229" s="15" t="s">
        <v>272</v>
      </c>
      <c r="E229" s="16">
        <v>45873</v>
      </c>
      <c r="F229" s="15" t="s">
        <v>367</v>
      </c>
      <c r="G229" s="15" t="s">
        <v>232</v>
      </c>
      <c r="H229" s="15" t="s">
        <v>233</v>
      </c>
      <c r="I229" s="15" t="s">
        <v>468</v>
      </c>
      <c r="J229" s="17">
        <v>1</v>
      </c>
      <c r="K229" s="15" t="s">
        <v>166</v>
      </c>
      <c r="L229" s="15" t="s">
        <v>159</v>
      </c>
      <c r="M229" s="15"/>
      <c r="N229" s="15"/>
      <c r="O229" s="17">
        <v>4</v>
      </c>
      <c r="P229" s="17">
        <v>29</v>
      </c>
      <c r="Q229" s="15"/>
    </row>
    <row r="230" spans="1:17" x14ac:dyDescent="0.3">
      <c r="A230" s="15" t="s">
        <v>856</v>
      </c>
      <c r="B230" s="16">
        <v>45964</v>
      </c>
      <c r="C230" s="15" t="s">
        <v>857</v>
      </c>
      <c r="D230" s="15" t="s">
        <v>858</v>
      </c>
      <c r="E230" s="16">
        <v>45963</v>
      </c>
      <c r="F230" s="15" t="s">
        <v>123</v>
      </c>
      <c r="G230" s="15" t="s">
        <v>288</v>
      </c>
      <c r="H230" s="15" t="s">
        <v>156</v>
      </c>
      <c r="I230" s="15" t="s">
        <v>317</v>
      </c>
      <c r="J230" s="17">
        <v>2</v>
      </c>
      <c r="K230" s="15" t="s">
        <v>127</v>
      </c>
      <c r="L230" s="15" t="s">
        <v>278</v>
      </c>
      <c r="M230" s="15"/>
      <c r="N230" s="15" t="s">
        <v>279</v>
      </c>
      <c r="O230" s="15"/>
      <c r="P230" s="17">
        <v>36</v>
      </c>
      <c r="Q230" s="15"/>
    </row>
    <row r="231" spans="1:17" x14ac:dyDescent="0.3">
      <c r="A231" s="15" t="s">
        <v>859</v>
      </c>
      <c r="B231" s="16">
        <v>46042</v>
      </c>
      <c r="C231" s="15" t="s">
        <v>860</v>
      </c>
      <c r="D231" s="15" t="s">
        <v>799</v>
      </c>
      <c r="E231" s="16">
        <v>45950</v>
      </c>
      <c r="F231" s="15" t="s">
        <v>123</v>
      </c>
      <c r="G231" s="15" t="s">
        <v>136</v>
      </c>
      <c r="H231" s="15" t="s">
        <v>137</v>
      </c>
      <c r="I231" s="15" t="s">
        <v>193</v>
      </c>
      <c r="J231" s="17">
        <v>1</v>
      </c>
      <c r="K231" s="15" t="s">
        <v>290</v>
      </c>
      <c r="L231" s="15" t="s">
        <v>247</v>
      </c>
      <c r="M231" s="15"/>
      <c r="N231" s="15" t="s">
        <v>130</v>
      </c>
      <c r="O231" s="17">
        <v>5</v>
      </c>
      <c r="P231" s="17">
        <v>26</v>
      </c>
      <c r="Q231" s="15"/>
    </row>
    <row r="232" spans="1:17" x14ac:dyDescent="0.3">
      <c r="A232" s="15" t="s">
        <v>861</v>
      </c>
      <c r="B232" s="16">
        <v>45968</v>
      </c>
      <c r="C232" s="15" t="s">
        <v>711</v>
      </c>
      <c r="D232" s="15" t="s">
        <v>689</v>
      </c>
      <c r="E232" s="16">
        <v>45927</v>
      </c>
      <c r="F232" s="15" t="s">
        <v>123</v>
      </c>
      <c r="G232" s="15" t="s">
        <v>331</v>
      </c>
      <c r="H232" s="15" t="s">
        <v>164</v>
      </c>
      <c r="I232" s="15" t="s">
        <v>517</v>
      </c>
      <c r="J232" s="17">
        <v>2</v>
      </c>
      <c r="K232" s="15" t="s">
        <v>166</v>
      </c>
      <c r="L232" s="15" t="s">
        <v>128</v>
      </c>
      <c r="M232" s="15"/>
      <c r="N232" s="15" t="s">
        <v>130</v>
      </c>
      <c r="O232" s="17">
        <v>4</v>
      </c>
      <c r="P232" s="17">
        <v>38</v>
      </c>
      <c r="Q232" s="15" t="s">
        <v>141</v>
      </c>
    </row>
    <row r="233" spans="1:17" x14ac:dyDescent="0.3">
      <c r="A233" s="15" t="s">
        <v>862</v>
      </c>
      <c r="B233" s="16">
        <v>45986</v>
      </c>
      <c r="C233" s="15" t="s">
        <v>863</v>
      </c>
      <c r="D233" s="15" t="s">
        <v>162</v>
      </c>
      <c r="E233" s="16">
        <v>45743</v>
      </c>
      <c r="F233" s="15" t="s">
        <v>177</v>
      </c>
      <c r="G233" s="15" t="s">
        <v>339</v>
      </c>
      <c r="H233" s="15" t="s">
        <v>233</v>
      </c>
      <c r="I233" s="15" t="s">
        <v>234</v>
      </c>
      <c r="J233" s="17">
        <v>1</v>
      </c>
      <c r="K233" s="15" t="s">
        <v>713</v>
      </c>
      <c r="L233" s="15" t="s">
        <v>159</v>
      </c>
      <c r="M233" s="15"/>
      <c r="N233" s="15" t="s">
        <v>130</v>
      </c>
      <c r="O233" s="17">
        <v>5</v>
      </c>
      <c r="P233" s="17">
        <v>35</v>
      </c>
      <c r="Q233" s="15"/>
    </row>
    <row r="234" spans="1:17" x14ac:dyDescent="0.3">
      <c r="A234" s="15" t="s">
        <v>864</v>
      </c>
      <c r="B234" s="16">
        <v>46050</v>
      </c>
      <c r="C234" s="15" t="s">
        <v>865</v>
      </c>
      <c r="D234" s="15" t="s">
        <v>532</v>
      </c>
      <c r="E234" s="16">
        <v>45909</v>
      </c>
      <c r="F234" s="15" t="s">
        <v>206</v>
      </c>
      <c r="G234" s="15" t="s">
        <v>178</v>
      </c>
      <c r="H234" s="15" t="s">
        <v>179</v>
      </c>
      <c r="I234" s="15" t="s">
        <v>421</v>
      </c>
      <c r="J234" s="17">
        <v>1</v>
      </c>
      <c r="K234" s="15" t="s">
        <v>353</v>
      </c>
      <c r="L234" s="15" t="s">
        <v>159</v>
      </c>
      <c r="M234" s="15"/>
      <c r="N234" s="15" t="s">
        <v>279</v>
      </c>
      <c r="O234" s="15"/>
      <c r="P234" s="17">
        <v>26</v>
      </c>
      <c r="Q234" s="15" t="s">
        <v>280</v>
      </c>
    </row>
    <row r="235" spans="1:17" x14ac:dyDescent="0.3">
      <c r="A235" s="15" t="s">
        <v>866</v>
      </c>
      <c r="B235" s="16">
        <v>45880</v>
      </c>
      <c r="C235" s="15" t="s">
        <v>750</v>
      </c>
      <c r="D235" s="15" t="s">
        <v>867</v>
      </c>
      <c r="E235" s="16">
        <v>45880</v>
      </c>
      <c r="F235" s="15" t="s">
        <v>413</v>
      </c>
      <c r="G235" s="15" t="s">
        <v>146</v>
      </c>
      <c r="H235" s="15" t="s">
        <v>147</v>
      </c>
      <c r="I235" s="15" t="s">
        <v>264</v>
      </c>
      <c r="J235" s="17">
        <v>1</v>
      </c>
      <c r="K235" s="15" t="s">
        <v>277</v>
      </c>
      <c r="L235" s="15" t="s">
        <v>159</v>
      </c>
      <c r="M235" s="15"/>
      <c r="N235" s="15" t="s">
        <v>130</v>
      </c>
      <c r="O235" s="17">
        <v>5</v>
      </c>
      <c r="P235" s="17">
        <v>27</v>
      </c>
      <c r="Q235" s="15" t="s">
        <v>141</v>
      </c>
    </row>
    <row r="236" spans="1:17" x14ac:dyDescent="0.3">
      <c r="A236" s="15" t="s">
        <v>868</v>
      </c>
      <c r="B236" s="16">
        <v>46041</v>
      </c>
      <c r="C236" s="15" t="s">
        <v>293</v>
      </c>
      <c r="D236" s="15" t="s">
        <v>635</v>
      </c>
      <c r="E236" s="16">
        <v>45909</v>
      </c>
      <c r="F236" s="15" t="s">
        <v>198</v>
      </c>
      <c r="G236" s="15" t="s">
        <v>146</v>
      </c>
      <c r="H236" s="15" t="s">
        <v>147</v>
      </c>
      <c r="I236" s="15" t="s">
        <v>148</v>
      </c>
      <c r="J236" s="17">
        <v>1</v>
      </c>
      <c r="K236" s="15" t="s">
        <v>251</v>
      </c>
      <c r="L236" s="15" t="s">
        <v>247</v>
      </c>
      <c r="M236" s="15" t="s">
        <v>129</v>
      </c>
      <c r="N236" s="15" t="s">
        <v>130</v>
      </c>
      <c r="O236" s="17">
        <v>4</v>
      </c>
      <c r="P236" s="17">
        <v>30</v>
      </c>
      <c r="Q236" s="15" t="s">
        <v>141</v>
      </c>
    </row>
    <row r="237" spans="1:17" x14ac:dyDescent="0.3">
      <c r="A237" s="15" t="s">
        <v>869</v>
      </c>
      <c r="B237" s="16">
        <v>45911</v>
      </c>
      <c r="C237" s="15" t="s">
        <v>870</v>
      </c>
      <c r="D237" s="15" t="s">
        <v>424</v>
      </c>
      <c r="E237" s="16">
        <v>45909</v>
      </c>
      <c r="F237" s="15" t="s">
        <v>135</v>
      </c>
      <c r="G237" s="15" t="s">
        <v>155</v>
      </c>
      <c r="H237" s="15" t="s">
        <v>156</v>
      </c>
      <c r="I237" s="15" t="s">
        <v>317</v>
      </c>
      <c r="J237" s="17">
        <v>1</v>
      </c>
      <c r="K237" s="15" t="s">
        <v>218</v>
      </c>
      <c r="L237" s="15" t="s">
        <v>128</v>
      </c>
      <c r="M237" s="15"/>
      <c r="N237" s="15" t="s">
        <v>130</v>
      </c>
      <c r="O237" s="17">
        <v>3</v>
      </c>
      <c r="P237" s="17">
        <v>30</v>
      </c>
      <c r="Q237" s="15" t="s">
        <v>150</v>
      </c>
    </row>
    <row r="238" spans="1:17" x14ac:dyDescent="0.3">
      <c r="A238" s="15" t="s">
        <v>871</v>
      </c>
      <c r="B238" s="16">
        <v>46033</v>
      </c>
      <c r="C238" s="15" t="s">
        <v>872</v>
      </c>
      <c r="D238" s="15" t="s">
        <v>873</v>
      </c>
      <c r="E238" s="16">
        <v>46032</v>
      </c>
      <c r="F238" s="15" t="s">
        <v>206</v>
      </c>
      <c r="G238" s="15" t="s">
        <v>245</v>
      </c>
      <c r="H238" s="15" t="s">
        <v>233</v>
      </c>
      <c r="I238" s="15" t="s">
        <v>246</v>
      </c>
      <c r="J238" s="17">
        <v>1</v>
      </c>
      <c r="K238" s="15" t="s">
        <v>208</v>
      </c>
      <c r="L238" s="15" t="s">
        <v>140</v>
      </c>
      <c r="M238" s="15"/>
      <c r="N238" s="15" t="s">
        <v>130</v>
      </c>
      <c r="O238" s="17">
        <v>3</v>
      </c>
      <c r="P238" s="17">
        <v>41</v>
      </c>
      <c r="Q238" s="15"/>
    </row>
    <row r="239" spans="1:17" x14ac:dyDescent="0.3">
      <c r="A239" s="15" t="s">
        <v>874</v>
      </c>
      <c r="B239" s="16"/>
      <c r="C239" s="15" t="s">
        <v>875</v>
      </c>
      <c r="D239" s="15" t="s">
        <v>858</v>
      </c>
      <c r="E239" s="16">
        <v>45963</v>
      </c>
      <c r="F239" s="15" t="s">
        <v>123</v>
      </c>
      <c r="G239" s="15" t="s">
        <v>199</v>
      </c>
      <c r="H239" s="15" t="s">
        <v>179</v>
      </c>
      <c r="I239" s="15" t="s">
        <v>297</v>
      </c>
      <c r="J239" s="17">
        <v>3</v>
      </c>
      <c r="K239" s="15" t="s">
        <v>166</v>
      </c>
      <c r="L239" s="15" t="s">
        <v>159</v>
      </c>
      <c r="M239" s="15"/>
      <c r="N239" s="15" t="s">
        <v>130</v>
      </c>
      <c r="O239" s="17">
        <v>5</v>
      </c>
      <c r="P239" s="17">
        <v>41</v>
      </c>
      <c r="Q239" s="15"/>
    </row>
    <row r="240" spans="1:17" x14ac:dyDescent="0.3">
      <c r="A240" s="15" t="s">
        <v>876</v>
      </c>
      <c r="B240" s="16">
        <v>45926</v>
      </c>
      <c r="C240" s="15" t="s">
        <v>877</v>
      </c>
      <c r="D240" s="15" t="s">
        <v>579</v>
      </c>
      <c r="E240" s="16">
        <v>45926</v>
      </c>
      <c r="F240" s="15" t="s">
        <v>206</v>
      </c>
      <c r="G240" s="15" t="s">
        <v>171</v>
      </c>
      <c r="H240" s="15" t="s">
        <v>147</v>
      </c>
      <c r="I240" s="15" t="s">
        <v>878</v>
      </c>
      <c r="J240" s="17">
        <v>1</v>
      </c>
      <c r="K240" s="15" t="s">
        <v>208</v>
      </c>
      <c r="L240" s="15" t="s">
        <v>278</v>
      </c>
      <c r="M240" s="15" t="s">
        <v>188</v>
      </c>
      <c r="N240" s="15" t="s">
        <v>130</v>
      </c>
      <c r="O240" s="17">
        <v>5</v>
      </c>
      <c r="P240" s="17">
        <v>15</v>
      </c>
      <c r="Q240" s="15" t="s">
        <v>141</v>
      </c>
    </row>
    <row r="241" spans="1:17" x14ac:dyDescent="0.3">
      <c r="A241" s="15" t="s">
        <v>879</v>
      </c>
      <c r="B241" s="16">
        <v>46017</v>
      </c>
      <c r="C241" s="15" t="s">
        <v>880</v>
      </c>
      <c r="D241" s="15" t="s">
        <v>838</v>
      </c>
      <c r="E241" s="16">
        <v>45835</v>
      </c>
      <c r="F241" s="15" t="s">
        <v>135</v>
      </c>
      <c r="G241" s="15" t="s">
        <v>216</v>
      </c>
      <c r="H241" s="15" t="s">
        <v>125</v>
      </c>
      <c r="I241" s="15" t="s">
        <v>382</v>
      </c>
      <c r="J241" s="17">
        <v>2</v>
      </c>
      <c r="K241" s="15" t="s">
        <v>223</v>
      </c>
      <c r="L241" s="15" t="s">
        <v>159</v>
      </c>
      <c r="M241" s="15" t="s">
        <v>255</v>
      </c>
      <c r="N241" s="15" t="s">
        <v>130</v>
      </c>
      <c r="O241" s="17">
        <v>4</v>
      </c>
      <c r="P241" s="17">
        <v>20</v>
      </c>
      <c r="Q241" s="15"/>
    </row>
    <row r="242" spans="1:17" x14ac:dyDescent="0.3">
      <c r="A242" s="15" t="s">
        <v>881</v>
      </c>
      <c r="B242" s="16">
        <v>45927</v>
      </c>
      <c r="C242" s="15" t="s">
        <v>882</v>
      </c>
      <c r="D242" s="15" t="s">
        <v>553</v>
      </c>
      <c r="E242" s="16">
        <v>45901</v>
      </c>
      <c r="F242" s="15" t="s">
        <v>135</v>
      </c>
      <c r="G242" s="15" t="s">
        <v>124</v>
      </c>
      <c r="H242" s="15" t="s">
        <v>125</v>
      </c>
      <c r="I242" s="15" t="s">
        <v>126</v>
      </c>
      <c r="J242" s="17">
        <v>1</v>
      </c>
      <c r="K242" s="15" t="s">
        <v>265</v>
      </c>
      <c r="L242" s="15" t="s">
        <v>159</v>
      </c>
      <c r="M242" s="15" t="s">
        <v>188</v>
      </c>
      <c r="N242" s="15" t="s">
        <v>130</v>
      </c>
      <c r="O242" s="15"/>
      <c r="P242" s="17">
        <v>36</v>
      </c>
      <c r="Q242" s="15" t="s">
        <v>284</v>
      </c>
    </row>
    <row r="243" spans="1:17" x14ac:dyDescent="0.3">
      <c r="A243" s="15" t="s">
        <v>883</v>
      </c>
      <c r="B243" s="16">
        <v>45944</v>
      </c>
      <c r="C243" s="15" t="s">
        <v>884</v>
      </c>
      <c r="D243" s="15" t="s">
        <v>620</v>
      </c>
      <c r="E243" s="16">
        <v>45700</v>
      </c>
      <c r="F243" s="15" t="s">
        <v>198</v>
      </c>
      <c r="G243" s="15" t="s">
        <v>199</v>
      </c>
      <c r="H243" s="15" t="s">
        <v>179</v>
      </c>
      <c r="I243" s="15" t="s">
        <v>885</v>
      </c>
      <c r="J243" s="17">
        <v>1</v>
      </c>
      <c r="K243" s="15" t="s">
        <v>213</v>
      </c>
      <c r="L243" s="15" t="s">
        <v>159</v>
      </c>
      <c r="M243" s="15"/>
      <c r="N243" s="15" t="s">
        <v>130</v>
      </c>
      <c r="O243" s="17">
        <v>4</v>
      </c>
      <c r="P243" s="17">
        <v>33</v>
      </c>
      <c r="Q243" s="15"/>
    </row>
    <row r="244" spans="1:17" x14ac:dyDescent="0.3">
      <c r="A244" s="15" t="s">
        <v>886</v>
      </c>
      <c r="B244" s="16">
        <v>45948</v>
      </c>
      <c r="C244" s="15" t="s">
        <v>257</v>
      </c>
      <c r="D244" s="15" t="s">
        <v>887</v>
      </c>
      <c r="E244" s="16">
        <v>45947</v>
      </c>
      <c r="F244" s="15" t="s">
        <v>170</v>
      </c>
      <c r="G244" s="15" t="s">
        <v>146</v>
      </c>
      <c r="H244" s="15" t="s">
        <v>147</v>
      </c>
      <c r="I244" s="15" t="s">
        <v>888</v>
      </c>
      <c r="J244" s="17">
        <v>2</v>
      </c>
      <c r="K244" s="15" t="s">
        <v>158</v>
      </c>
      <c r="L244" s="15" t="s">
        <v>159</v>
      </c>
      <c r="M244" s="15"/>
      <c r="N244" s="15" t="s">
        <v>130</v>
      </c>
      <c r="O244" s="17">
        <v>3</v>
      </c>
      <c r="P244" s="17">
        <v>54</v>
      </c>
      <c r="Q244" s="15"/>
    </row>
    <row r="245" spans="1:17" x14ac:dyDescent="0.3">
      <c r="A245" s="15" t="s">
        <v>889</v>
      </c>
      <c r="B245" s="16">
        <v>46001</v>
      </c>
      <c r="C245" s="15" t="s">
        <v>561</v>
      </c>
      <c r="D245" s="15" t="s">
        <v>890</v>
      </c>
      <c r="E245" s="16">
        <v>46000</v>
      </c>
      <c r="F245" s="15" t="s">
        <v>123</v>
      </c>
      <c r="G245" s="15" t="s">
        <v>232</v>
      </c>
      <c r="H245" s="15" t="s">
        <v>233</v>
      </c>
      <c r="I245" s="15" t="s">
        <v>891</v>
      </c>
      <c r="J245" s="17">
        <v>1</v>
      </c>
      <c r="K245" s="15" t="s">
        <v>166</v>
      </c>
      <c r="L245" s="15" t="s">
        <v>278</v>
      </c>
      <c r="M245" s="15"/>
      <c r="N245" s="15" t="s">
        <v>130</v>
      </c>
      <c r="O245" s="17">
        <v>5</v>
      </c>
      <c r="P245" s="17">
        <v>41</v>
      </c>
      <c r="Q245" s="15" t="s">
        <v>141</v>
      </c>
    </row>
    <row r="246" spans="1:17" x14ac:dyDescent="0.3">
      <c r="A246" s="15" t="s">
        <v>892</v>
      </c>
      <c r="B246" s="16">
        <v>45931</v>
      </c>
      <c r="C246" s="15" t="s">
        <v>650</v>
      </c>
      <c r="D246" s="15" t="s">
        <v>893</v>
      </c>
      <c r="E246" s="16">
        <v>45916</v>
      </c>
      <c r="F246" s="15" t="s">
        <v>198</v>
      </c>
      <c r="G246" s="15" t="s">
        <v>155</v>
      </c>
      <c r="H246" s="15" t="s">
        <v>156</v>
      </c>
      <c r="I246" s="15" t="s">
        <v>894</v>
      </c>
      <c r="J246" s="17">
        <v>2</v>
      </c>
      <c r="K246" s="15" t="s">
        <v>201</v>
      </c>
      <c r="L246" s="15" t="s">
        <v>128</v>
      </c>
      <c r="M246" s="15" t="s">
        <v>188</v>
      </c>
      <c r="N246" s="15" t="s">
        <v>130</v>
      </c>
      <c r="O246" s="17">
        <v>3</v>
      </c>
      <c r="P246" s="17">
        <v>25</v>
      </c>
      <c r="Q246" s="15" t="s">
        <v>194</v>
      </c>
    </row>
    <row r="247" spans="1:17" x14ac:dyDescent="0.3">
      <c r="A247" s="15" t="s">
        <v>895</v>
      </c>
      <c r="B247" s="16">
        <v>45947</v>
      </c>
      <c r="C247" s="15" t="s">
        <v>896</v>
      </c>
      <c r="D247" s="15" t="s">
        <v>495</v>
      </c>
      <c r="E247" s="16">
        <v>45947</v>
      </c>
      <c r="F247" s="15" t="s">
        <v>123</v>
      </c>
      <c r="G247" s="15" t="s">
        <v>136</v>
      </c>
      <c r="H247" s="15" t="s">
        <v>137</v>
      </c>
      <c r="I247" s="15" t="s">
        <v>897</v>
      </c>
      <c r="J247" s="17">
        <v>1</v>
      </c>
      <c r="K247" s="15" t="s">
        <v>290</v>
      </c>
      <c r="L247" s="15" t="s">
        <v>128</v>
      </c>
      <c r="M247" s="15" t="s">
        <v>529</v>
      </c>
      <c r="N247" s="15" t="s">
        <v>235</v>
      </c>
      <c r="O247" s="15"/>
      <c r="P247" s="17">
        <v>46</v>
      </c>
      <c r="Q247" s="15"/>
    </row>
    <row r="248" spans="1:17" x14ac:dyDescent="0.3">
      <c r="A248" s="15" t="s">
        <v>898</v>
      </c>
      <c r="B248" s="16">
        <v>45973</v>
      </c>
      <c r="C248" s="15" t="s">
        <v>899</v>
      </c>
      <c r="D248" s="15" t="s">
        <v>528</v>
      </c>
      <c r="E248" s="16">
        <v>45891</v>
      </c>
      <c r="F248" s="15" t="s">
        <v>198</v>
      </c>
      <c r="G248" s="15" t="s">
        <v>350</v>
      </c>
      <c r="H248" s="15" t="s">
        <v>351</v>
      </c>
      <c r="I248" s="15" t="s">
        <v>638</v>
      </c>
      <c r="J248" s="17">
        <v>1</v>
      </c>
      <c r="K248" s="15" t="s">
        <v>213</v>
      </c>
      <c r="L248" s="15" t="s">
        <v>140</v>
      </c>
      <c r="M248" s="15" t="s">
        <v>518</v>
      </c>
      <c r="N248" s="15" t="s">
        <v>130</v>
      </c>
      <c r="O248" s="17">
        <v>4</v>
      </c>
      <c r="P248" s="17">
        <v>30</v>
      </c>
      <c r="Q248" s="15" t="s">
        <v>131</v>
      </c>
    </row>
    <row r="249" spans="1:17" x14ac:dyDescent="0.3">
      <c r="A249" s="15" t="s">
        <v>900</v>
      </c>
      <c r="B249" s="16">
        <v>45897</v>
      </c>
      <c r="C249" s="15" t="s">
        <v>631</v>
      </c>
      <c r="D249" s="15" t="s">
        <v>348</v>
      </c>
      <c r="E249" s="16">
        <v>45897</v>
      </c>
      <c r="F249" s="15" t="s">
        <v>228</v>
      </c>
      <c r="G249" s="15" t="s">
        <v>178</v>
      </c>
      <c r="H249" s="15" t="s">
        <v>179</v>
      </c>
      <c r="I249" s="15" t="s">
        <v>200</v>
      </c>
      <c r="J249" s="17">
        <v>1</v>
      </c>
      <c r="K249" s="15" t="s">
        <v>277</v>
      </c>
      <c r="L249" s="15" t="s">
        <v>140</v>
      </c>
      <c r="M249" s="15"/>
      <c r="N249" s="15" t="s">
        <v>130</v>
      </c>
      <c r="O249" s="17">
        <v>4</v>
      </c>
      <c r="P249" s="17">
        <v>520</v>
      </c>
      <c r="Q249" s="15"/>
    </row>
    <row r="250" spans="1:17" x14ac:dyDescent="0.3">
      <c r="A250" s="15" t="s">
        <v>901</v>
      </c>
      <c r="B250" s="16">
        <v>45898</v>
      </c>
      <c r="C250" s="15" t="s">
        <v>902</v>
      </c>
      <c r="D250" s="15" t="s">
        <v>751</v>
      </c>
      <c r="E250" s="16">
        <v>45880</v>
      </c>
      <c r="F250" s="15" t="s">
        <v>206</v>
      </c>
      <c r="G250" s="15" t="s">
        <v>146</v>
      </c>
      <c r="H250" s="15" t="s">
        <v>147</v>
      </c>
      <c r="I250" s="15" t="s">
        <v>148</v>
      </c>
      <c r="J250" s="17">
        <v>2</v>
      </c>
      <c r="K250" s="15" t="s">
        <v>353</v>
      </c>
      <c r="L250" s="15" t="s">
        <v>128</v>
      </c>
      <c r="M250" s="15"/>
      <c r="N250" s="15" t="s">
        <v>130</v>
      </c>
      <c r="O250" s="15"/>
      <c r="P250" s="17">
        <v>43</v>
      </c>
      <c r="Q250" s="15"/>
    </row>
    <row r="251" spans="1:17" x14ac:dyDescent="0.3">
      <c r="A251" s="15" t="s">
        <v>903</v>
      </c>
      <c r="B251" s="16">
        <v>45960</v>
      </c>
      <c r="C251" s="15" t="s">
        <v>691</v>
      </c>
      <c r="D251" s="15" t="s">
        <v>692</v>
      </c>
      <c r="E251" s="16">
        <v>45960</v>
      </c>
      <c r="F251" s="15" t="s">
        <v>198</v>
      </c>
      <c r="G251" s="15" t="s">
        <v>245</v>
      </c>
      <c r="H251" s="15" t="s">
        <v>233</v>
      </c>
      <c r="I251" s="15" t="s">
        <v>904</v>
      </c>
      <c r="J251" s="17">
        <v>2</v>
      </c>
      <c r="K251" s="15" t="s">
        <v>251</v>
      </c>
      <c r="L251" s="15" t="s">
        <v>128</v>
      </c>
      <c r="M251" s="15" t="s">
        <v>182</v>
      </c>
      <c r="N251" s="15" t="s">
        <v>130</v>
      </c>
      <c r="O251" s="17">
        <v>5</v>
      </c>
      <c r="P251" s="17">
        <v>4</v>
      </c>
      <c r="Q251" s="15"/>
    </row>
    <row r="252" spans="1:17" x14ac:dyDescent="0.3">
      <c r="A252" s="15" t="s">
        <v>905</v>
      </c>
      <c r="B252" s="16">
        <v>45964</v>
      </c>
      <c r="C252" s="15" t="s">
        <v>906</v>
      </c>
      <c r="D252" s="15" t="s">
        <v>907</v>
      </c>
      <c r="E252" s="16">
        <v>45962</v>
      </c>
      <c r="F252" s="15" t="s">
        <v>135</v>
      </c>
      <c r="G252" s="15" t="s">
        <v>171</v>
      </c>
      <c r="H252" s="15" t="s">
        <v>147</v>
      </c>
      <c r="I252" s="15" t="s">
        <v>172</v>
      </c>
      <c r="J252" s="17">
        <v>1</v>
      </c>
      <c r="K252" s="15" t="s">
        <v>277</v>
      </c>
      <c r="L252" s="15" t="s">
        <v>247</v>
      </c>
      <c r="M252" s="15" t="s">
        <v>182</v>
      </c>
      <c r="N252" s="15" t="s">
        <v>130</v>
      </c>
      <c r="O252" s="17">
        <v>5</v>
      </c>
      <c r="P252" s="17">
        <v>21</v>
      </c>
      <c r="Q252" s="15"/>
    </row>
    <row r="253" spans="1:17" x14ac:dyDescent="0.3">
      <c r="A253" s="15" t="s">
        <v>908</v>
      </c>
      <c r="B253" s="16">
        <v>45892</v>
      </c>
      <c r="C253" s="15" t="s">
        <v>909</v>
      </c>
      <c r="D253" s="15" t="s">
        <v>910</v>
      </c>
      <c r="E253" s="16">
        <v>45891</v>
      </c>
      <c r="F253" s="15" t="s">
        <v>135</v>
      </c>
      <c r="G253" s="15" t="s">
        <v>124</v>
      </c>
      <c r="H253" s="15" t="s">
        <v>125</v>
      </c>
      <c r="I253" s="15" t="s">
        <v>571</v>
      </c>
      <c r="J253" s="17">
        <v>1</v>
      </c>
      <c r="K253" s="15" t="s">
        <v>265</v>
      </c>
      <c r="L253" s="15" t="s">
        <v>140</v>
      </c>
      <c r="M253" s="15"/>
      <c r="N253" s="15" t="s">
        <v>130</v>
      </c>
      <c r="O253" s="17">
        <v>4</v>
      </c>
      <c r="P253" s="17">
        <v>27</v>
      </c>
      <c r="Q253" s="15" t="s">
        <v>291</v>
      </c>
    </row>
    <row r="254" spans="1:17" x14ac:dyDescent="0.3">
      <c r="A254" s="15" t="s">
        <v>911</v>
      </c>
      <c r="B254" s="16">
        <v>45956</v>
      </c>
      <c r="C254" s="15" t="s">
        <v>853</v>
      </c>
      <c r="D254" s="15" t="s">
        <v>781</v>
      </c>
      <c r="E254" s="16">
        <v>45722</v>
      </c>
      <c r="F254" s="15" t="s">
        <v>135</v>
      </c>
      <c r="G254" s="15" t="s">
        <v>178</v>
      </c>
      <c r="H254" s="15" t="s">
        <v>179</v>
      </c>
      <c r="I254" s="15" t="s">
        <v>180</v>
      </c>
      <c r="J254" s="17">
        <v>4</v>
      </c>
      <c r="K254" s="15" t="s">
        <v>218</v>
      </c>
      <c r="L254" s="15" t="s">
        <v>140</v>
      </c>
      <c r="M254" s="15" t="s">
        <v>182</v>
      </c>
      <c r="N254" s="15" t="s">
        <v>130</v>
      </c>
      <c r="O254" s="17">
        <v>4</v>
      </c>
      <c r="P254" s="17">
        <v>28</v>
      </c>
      <c r="Q254" s="15"/>
    </row>
    <row r="255" spans="1:17" x14ac:dyDescent="0.3">
      <c r="A255" s="15" t="s">
        <v>912</v>
      </c>
      <c r="B255" s="16">
        <v>45912</v>
      </c>
      <c r="C255" s="15" t="s">
        <v>384</v>
      </c>
      <c r="D255" s="15" t="s">
        <v>541</v>
      </c>
      <c r="E255" s="16">
        <v>45910</v>
      </c>
      <c r="F255" s="15" t="s">
        <v>170</v>
      </c>
      <c r="G255" s="15" t="s">
        <v>350</v>
      </c>
      <c r="H255" s="15" t="s">
        <v>351</v>
      </c>
      <c r="I255" s="15" t="s">
        <v>352</v>
      </c>
      <c r="J255" s="17">
        <v>1</v>
      </c>
      <c r="K255" s="15" t="s">
        <v>173</v>
      </c>
      <c r="L255" s="15" t="s">
        <v>128</v>
      </c>
      <c r="M255" s="15" t="s">
        <v>129</v>
      </c>
      <c r="N255" s="15" t="s">
        <v>130</v>
      </c>
      <c r="O255" s="17">
        <v>2</v>
      </c>
      <c r="P255" s="17">
        <v>28</v>
      </c>
      <c r="Q255" s="15"/>
    </row>
    <row r="256" spans="1:17" x14ac:dyDescent="0.3">
      <c r="A256" s="15" t="s">
        <v>913</v>
      </c>
      <c r="B256" s="16">
        <v>45871</v>
      </c>
      <c r="C256" s="15" t="s">
        <v>914</v>
      </c>
      <c r="D256" s="15" t="s">
        <v>915</v>
      </c>
      <c r="E256" s="16">
        <v>45871</v>
      </c>
      <c r="F256" s="15" t="s">
        <v>145</v>
      </c>
      <c r="G256" s="15" t="s">
        <v>199</v>
      </c>
      <c r="H256" s="15" t="s">
        <v>179</v>
      </c>
      <c r="I256" s="15" t="s">
        <v>916</v>
      </c>
      <c r="J256" s="17">
        <v>1</v>
      </c>
      <c r="K256" s="15" t="s">
        <v>307</v>
      </c>
      <c r="L256" s="15" t="s">
        <v>128</v>
      </c>
      <c r="M256" s="15"/>
      <c r="N256" s="15" t="s">
        <v>279</v>
      </c>
      <c r="O256" s="15"/>
      <c r="P256" s="17">
        <v>41</v>
      </c>
      <c r="Q256" s="15"/>
    </row>
    <row r="257" spans="1:17" x14ac:dyDescent="0.3">
      <c r="A257" s="15" t="s">
        <v>917</v>
      </c>
      <c r="B257" s="16">
        <v>46004</v>
      </c>
      <c r="C257" s="15" t="s">
        <v>918</v>
      </c>
      <c r="D257" s="15" t="s">
        <v>919</v>
      </c>
      <c r="E257" s="16">
        <v>45909</v>
      </c>
      <c r="F257" s="15" t="s">
        <v>170</v>
      </c>
      <c r="G257" s="15" t="s">
        <v>146</v>
      </c>
      <c r="H257" s="15" t="s">
        <v>147</v>
      </c>
      <c r="I257" s="15" t="s">
        <v>559</v>
      </c>
      <c r="J257" s="17">
        <v>2</v>
      </c>
      <c r="K257" s="15" t="s">
        <v>173</v>
      </c>
      <c r="L257" s="15" t="s">
        <v>159</v>
      </c>
      <c r="M257" s="15"/>
      <c r="N257" s="15" t="s">
        <v>130</v>
      </c>
      <c r="O257" s="17">
        <v>4</v>
      </c>
      <c r="P257" s="17">
        <v>59</v>
      </c>
      <c r="Q257" s="15" t="s">
        <v>131</v>
      </c>
    </row>
    <row r="258" spans="1:17" x14ac:dyDescent="0.3">
      <c r="A258" s="15" t="s">
        <v>920</v>
      </c>
      <c r="B258" s="16">
        <v>45960</v>
      </c>
      <c r="C258" s="15" t="s">
        <v>921</v>
      </c>
      <c r="D258" s="15" t="s">
        <v>922</v>
      </c>
      <c r="E258" s="16">
        <v>45871</v>
      </c>
      <c r="F258" s="15" t="s">
        <v>259</v>
      </c>
      <c r="G258" s="15" t="s">
        <v>192</v>
      </c>
      <c r="H258" s="15" t="s">
        <v>137</v>
      </c>
      <c r="I258" s="15" t="s">
        <v>593</v>
      </c>
      <c r="J258" s="17">
        <v>2</v>
      </c>
      <c r="K258" s="15" t="s">
        <v>260</v>
      </c>
      <c r="L258" s="15" t="s">
        <v>128</v>
      </c>
      <c r="M258" s="15"/>
      <c r="N258" s="15" t="s">
        <v>130</v>
      </c>
      <c r="O258" s="17">
        <v>3</v>
      </c>
      <c r="P258" s="17">
        <v>56</v>
      </c>
      <c r="Q258" s="15" t="s">
        <v>194</v>
      </c>
    </row>
    <row r="259" spans="1:17" x14ac:dyDescent="0.3">
      <c r="A259" s="15" t="s">
        <v>923</v>
      </c>
      <c r="B259" s="16">
        <v>46041</v>
      </c>
      <c r="C259" s="15" t="s">
        <v>686</v>
      </c>
      <c r="D259" s="15" t="s">
        <v>924</v>
      </c>
      <c r="E259" s="16">
        <v>46041</v>
      </c>
      <c r="F259" s="15" t="s">
        <v>123</v>
      </c>
      <c r="G259" s="15" t="s">
        <v>124</v>
      </c>
      <c r="H259" s="15" t="s">
        <v>125</v>
      </c>
      <c r="I259" s="15" t="s">
        <v>126</v>
      </c>
      <c r="J259" s="17">
        <v>1</v>
      </c>
      <c r="K259" s="15" t="s">
        <v>127</v>
      </c>
      <c r="L259" s="15" t="s">
        <v>140</v>
      </c>
      <c r="M259" s="15"/>
      <c r="N259" s="15" t="s">
        <v>130</v>
      </c>
      <c r="O259" s="17">
        <v>4</v>
      </c>
      <c r="P259" s="17">
        <v>47</v>
      </c>
      <c r="Q259" s="15"/>
    </row>
    <row r="260" spans="1:17" x14ac:dyDescent="0.3">
      <c r="A260" s="15" t="s">
        <v>925</v>
      </c>
      <c r="B260" s="16">
        <v>45964</v>
      </c>
      <c r="C260" s="15" t="s">
        <v>682</v>
      </c>
      <c r="D260" s="15" t="s">
        <v>683</v>
      </c>
      <c r="E260" s="16">
        <v>45949</v>
      </c>
      <c r="F260" s="15" t="s">
        <v>206</v>
      </c>
      <c r="G260" s="15" t="s">
        <v>245</v>
      </c>
      <c r="H260" s="15" t="s">
        <v>233</v>
      </c>
      <c r="I260" s="15" t="s">
        <v>363</v>
      </c>
      <c r="J260" s="17">
        <v>1</v>
      </c>
      <c r="K260" s="15" t="s">
        <v>208</v>
      </c>
      <c r="L260" s="15" t="s">
        <v>140</v>
      </c>
      <c r="M260" s="15" t="s">
        <v>182</v>
      </c>
      <c r="N260" s="15" t="s">
        <v>130</v>
      </c>
      <c r="O260" s="17">
        <v>5</v>
      </c>
      <c r="P260" s="17">
        <v>26</v>
      </c>
      <c r="Q260" s="15"/>
    </row>
    <row r="261" spans="1:17" x14ac:dyDescent="0.3">
      <c r="A261" s="15" t="s">
        <v>926</v>
      </c>
      <c r="B261" s="16">
        <v>45957</v>
      </c>
      <c r="C261" s="15" t="s">
        <v>927</v>
      </c>
      <c r="D261" s="15" t="s">
        <v>541</v>
      </c>
      <c r="E261" s="16">
        <v>45910</v>
      </c>
      <c r="F261" s="15" t="s">
        <v>135</v>
      </c>
      <c r="G261" s="15" t="s">
        <v>192</v>
      </c>
      <c r="H261" s="15" t="s">
        <v>137</v>
      </c>
      <c r="I261" s="15" t="s">
        <v>680</v>
      </c>
      <c r="J261" s="17">
        <v>3</v>
      </c>
      <c r="K261" s="15" t="s">
        <v>187</v>
      </c>
      <c r="L261" s="15" t="s">
        <v>128</v>
      </c>
      <c r="M261" s="15" t="s">
        <v>182</v>
      </c>
      <c r="N261" s="15" t="s">
        <v>235</v>
      </c>
      <c r="O261" s="15"/>
      <c r="P261" s="17">
        <v>33</v>
      </c>
      <c r="Q261" s="15"/>
    </row>
    <row r="262" spans="1:17" x14ac:dyDescent="0.3">
      <c r="A262" s="15" t="s">
        <v>928</v>
      </c>
      <c r="B262" s="16">
        <v>46018</v>
      </c>
      <c r="C262" s="15" t="s">
        <v>626</v>
      </c>
      <c r="D262" s="15" t="s">
        <v>929</v>
      </c>
      <c r="E262" s="16">
        <v>45873</v>
      </c>
      <c r="F262" s="15" t="s">
        <v>123</v>
      </c>
      <c r="G262" s="15" t="s">
        <v>178</v>
      </c>
      <c r="H262" s="15" t="s">
        <v>179</v>
      </c>
      <c r="I262" s="15" t="s">
        <v>421</v>
      </c>
      <c r="J262" s="17">
        <v>1</v>
      </c>
      <c r="K262" s="15" t="s">
        <v>166</v>
      </c>
      <c r="L262" s="15" t="s">
        <v>140</v>
      </c>
      <c r="M262" s="15"/>
      <c r="N262" s="15" t="s">
        <v>130</v>
      </c>
      <c r="O262" s="17">
        <v>4</v>
      </c>
      <c r="P262" s="17">
        <v>44</v>
      </c>
      <c r="Q262" s="15" t="s">
        <v>302</v>
      </c>
    </row>
    <row r="263" spans="1:17" x14ac:dyDescent="0.3">
      <c r="A263" s="15" t="s">
        <v>930</v>
      </c>
      <c r="B263" s="16">
        <v>46014</v>
      </c>
      <c r="C263" s="15" t="s">
        <v>931</v>
      </c>
      <c r="D263" s="15" t="s">
        <v>932</v>
      </c>
      <c r="E263" s="16">
        <v>46014</v>
      </c>
      <c r="F263" s="15" t="s">
        <v>135</v>
      </c>
      <c r="G263" s="15" t="s">
        <v>136</v>
      </c>
      <c r="H263" s="15" t="s">
        <v>137</v>
      </c>
      <c r="I263" s="15" t="s">
        <v>593</v>
      </c>
      <c r="J263" s="17">
        <v>2</v>
      </c>
      <c r="K263" s="15" t="s">
        <v>139</v>
      </c>
      <c r="L263" s="15" t="s">
        <v>128</v>
      </c>
      <c r="M263" s="15" t="s">
        <v>129</v>
      </c>
      <c r="N263" s="15" t="s">
        <v>130</v>
      </c>
      <c r="O263" s="17">
        <v>4</v>
      </c>
      <c r="P263" s="17">
        <v>37</v>
      </c>
      <c r="Q263" s="15"/>
    </row>
    <row r="264" spans="1:17" x14ac:dyDescent="0.3">
      <c r="A264" s="15" t="s">
        <v>933</v>
      </c>
      <c r="B264" s="16">
        <v>45885</v>
      </c>
      <c r="C264" s="15" t="s">
        <v>253</v>
      </c>
      <c r="D264" s="15" t="s">
        <v>934</v>
      </c>
      <c r="E264" s="16">
        <v>45885</v>
      </c>
      <c r="F264" s="15" t="s">
        <v>397</v>
      </c>
      <c r="G264" s="15" t="s">
        <v>216</v>
      </c>
      <c r="H264" s="15" t="s">
        <v>125</v>
      </c>
      <c r="I264" s="15" t="s">
        <v>295</v>
      </c>
      <c r="J264" s="17">
        <v>3</v>
      </c>
      <c r="K264" s="15" t="s">
        <v>218</v>
      </c>
      <c r="L264" s="15" t="s">
        <v>128</v>
      </c>
      <c r="M264" s="15"/>
      <c r="N264" s="15" t="s">
        <v>130</v>
      </c>
      <c r="O264" s="17">
        <v>4</v>
      </c>
      <c r="P264" s="17">
        <v>32</v>
      </c>
      <c r="Q264" s="15"/>
    </row>
    <row r="265" spans="1:17" x14ac:dyDescent="0.3">
      <c r="A265" s="15" t="s">
        <v>935</v>
      </c>
      <c r="B265" s="16">
        <v>45966</v>
      </c>
      <c r="C265" s="15" t="s">
        <v>936</v>
      </c>
      <c r="D265" s="15" t="s">
        <v>937</v>
      </c>
      <c r="E265" s="16">
        <v>45963</v>
      </c>
      <c r="F265" s="15" t="s">
        <v>206</v>
      </c>
      <c r="G265" s="15" t="s">
        <v>163</v>
      </c>
      <c r="H265" s="15" t="s">
        <v>164</v>
      </c>
      <c r="I265" s="15" t="s">
        <v>521</v>
      </c>
      <c r="J265" s="17">
        <v>1</v>
      </c>
      <c r="K265" s="15" t="s">
        <v>298</v>
      </c>
      <c r="L265" s="15" t="s">
        <v>128</v>
      </c>
      <c r="M265" s="15" t="s">
        <v>255</v>
      </c>
      <c r="N265" s="15" t="s">
        <v>130</v>
      </c>
      <c r="O265" s="17">
        <v>5</v>
      </c>
      <c r="P265" s="17">
        <v>39</v>
      </c>
      <c r="Q265" s="15"/>
    </row>
    <row r="266" spans="1:17" x14ac:dyDescent="0.3">
      <c r="A266" s="15" t="s">
        <v>938</v>
      </c>
      <c r="B266" s="16">
        <v>45875</v>
      </c>
      <c r="C266" s="15" t="s">
        <v>939</v>
      </c>
      <c r="D266" s="15" t="s">
        <v>940</v>
      </c>
      <c r="E266" s="16">
        <v>45873</v>
      </c>
      <c r="F266" s="15" t="s">
        <v>198</v>
      </c>
      <c r="G266" s="15" t="s">
        <v>331</v>
      </c>
      <c r="H266" s="15" t="s">
        <v>164</v>
      </c>
      <c r="I266" s="15" t="s">
        <v>327</v>
      </c>
      <c r="J266" s="17">
        <v>2</v>
      </c>
      <c r="K266" s="15" t="s">
        <v>201</v>
      </c>
      <c r="L266" s="15" t="s">
        <v>140</v>
      </c>
      <c r="M266" s="15"/>
      <c r="N266" s="15" t="s">
        <v>130</v>
      </c>
      <c r="O266" s="17">
        <v>4</v>
      </c>
      <c r="P266" s="17">
        <v>22</v>
      </c>
      <c r="Q266" s="15" t="s">
        <v>291</v>
      </c>
    </row>
    <row r="267" spans="1:17" x14ac:dyDescent="0.3">
      <c r="A267" s="15" t="s">
        <v>941</v>
      </c>
      <c r="B267" s="16">
        <v>45987</v>
      </c>
      <c r="C267" s="15" t="s">
        <v>729</v>
      </c>
      <c r="D267" s="15" t="s">
        <v>730</v>
      </c>
      <c r="E267" s="16">
        <v>45951</v>
      </c>
      <c r="F267" s="15" t="s">
        <v>206</v>
      </c>
      <c r="G267" s="15" t="s">
        <v>339</v>
      </c>
      <c r="H267" s="15" t="s">
        <v>233</v>
      </c>
      <c r="I267" s="15" t="s">
        <v>301</v>
      </c>
      <c r="J267" s="17">
        <v>1</v>
      </c>
      <c r="K267" s="15" t="s">
        <v>353</v>
      </c>
      <c r="L267" s="15" t="s">
        <v>278</v>
      </c>
      <c r="M267" s="15"/>
      <c r="N267" s="15" t="s">
        <v>130</v>
      </c>
      <c r="O267" s="17">
        <v>4</v>
      </c>
      <c r="P267" s="17">
        <v>34</v>
      </c>
      <c r="Q267" s="15"/>
    </row>
    <row r="268" spans="1:17" x14ac:dyDescent="0.3">
      <c r="A268" s="15" t="s">
        <v>942</v>
      </c>
      <c r="B268" s="16">
        <v>46000</v>
      </c>
      <c r="C268" s="15" t="s">
        <v>943</v>
      </c>
      <c r="D268" s="15" t="s">
        <v>316</v>
      </c>
      <c r="E268" s="16">
        <v>46000</v>
      </c>
      <c r="F268" s="15" t="s">
        <v>198</v>
      </c>
      <c r="G268" s="15" t="s">
        <v>178</v>
      </c>
      <c r="H268" s="15" t="s">
        <v>179</v>
      </c>
      <c r="I268" s="15" t="s">
        <v>368</v>
      </c>
      <c r="J268" s="17">
        <v>2</v>
      </c>
      <c r="K268" s="15" t="s">
        <v>213</v>
      </c>
      <c r="L268" s="15" t="s">
        <v>159</v>
      </c>
      <c r="M268" s="15" t="s">
        <v>336</v>
      </c>
      <c r="N268" s="15" t="s">
        <v>130</v>
      </c>
      <c r="O268" s="17">
        <v>4</v>
      </c>
      <c r="P268" s="17">
        <v>24</v>
      </c>
      <c r="Q268" s="15" t="s">
        <v>141</v>
      </c>
    </row>
    <row r="269" spans="1:17" x14ac:dyDescent="0.3">
      <c r="A269" s="15" t="s">
        <v>944</v>
      </c>
      <c r="B269" s="16">
        <v>45961</v>
      </c>
      <c r="C269" s="15" t="s">
        <v>945</v>
      </c>
      <c r="D269" s="15" t="s">
        <v>946</v>
      </c>
      <c r="E269" s="16">
        <v>45961</v>
      </c>
      <c r="F269" s="15" t="s">
        <v>135</v>
      </c>
      <c r="G269" s="15" t="s">
        <v>192</v>
      </c>
      <c r="H269" s="15" t="s">
        <v>137</v>
      </c>
      <c r="I269" s="15" t="s">
        <v>269</v>
      </c>
      <c r="J269" s="17">
        <v>2</v>
      </c>
      <c r="K269" s="15" t="s">
        <v>265</v>
      </c>
      <c r="L269" s="15" t="s">
        <v>159</v>
      </c>
      <c r="M269" s="15" t="s">
        <v>182</v>
      </c>
      <c r="N269" s="15" t="s">
        <v>130</v>
      </c>
      <c r="O269" s="17">
        <v>5</v>
      </c>
      <c r="P269" s="17">
        <v>23</v>
      </c>
      <c r="Q269" s="15"/>
    </row>
    <row r="270" spans="1:17" x14ac:dyDescent="0.3">
      <c r="A270" s="15" t="s">
        <v>947</v>
      </c>
      <c r="B270" s="16">
        <v>45924</v>
      </c>
      <c r="C270" s="15" t="s">
        <v>608</v>
      </c>
      <c r="D270" s="15" t="s">
        <v>448</v>
      </c>
      <c r="E270" s="16">
        <v>45889</v>
      </c>
      <c r="F270" s="15" t="s">
        <v>177</v>
      </c>
      <c r="G270" s="15" t="s">
        <v>163</v>
      </c>
      <c r="H270" s="15" t="s">
        <v>164</v>
      </c>
      <c r="I270" s="15" t="s">
        <v>948</v>
      </c>
      <c r="J270" s="17">
        <v>3</v>
      </c>
      <c r="K270" s="15" t="s">
        <v>713</v>
      </c>
      <c r="L270" s="15" t="s">
        <v>159</v>
      </c>
      <c r="M270" s="15" t="s">
        <v>188</v>
      </c>
      <c r="N270" s="15" t="s">
        <v>130</v>
      </c>
      <c r="O270" s="17">
        <v>4</v>
      </c>
      <c r="P270" s="17">
        <v>20</v>
      </c>
      <c r="Q270" s="15"/>
    </row>
    <row r="271" spans="1:17" x14ac:dyDescent="0.3">
      <c r="A271" s="15" t="s">
        <v>949</v>
      </c>
      <c r="B271" s="16">
        <v>45953</v>
      </c>
      <c r="C271" s="15" t="s">
        <v>726</v>
      </c>
      <c r="D271" s="15" t="s">
        <v>727</v>
      </c>
      <c r="E271" s="16">
        <v>45874</v>
      </c>
      <c r="F271" s="15" t="s">
        <v>177</v>
      </c>
      <c r="G271" s="15" t="s">
        <v>245</v>
      </c>
      <c r="H271" s="15" t="s">
        <v>233</v>
      </c>
      <c r="I271" s="15" t="s">
        <v>499</v>
      </c>
      <c r="J271" s="17">
        <v>4</v>
      </c>
      <c r="K271" s="15" t="s">
        <v>713</v>
      </c>
      <c r="L271" s="15" t="s">
        <v>247</v>
      </c>
      <c r="M271" s="15"/>
      <c r="N271" s="15" t="s">
        <v>130</v>
      </c>
      <c r="O271" s="17">
        <v>4</v>
      </c>
      <c r="P271" s="17">
        <v>22</v>
      </c>
      <c r="Q271" s="15" t="s">
        <v>302</v>
      </c>
    </row>
    <row r="272" spans="1:17" x14ac:dyDescent="0.3">
      <c r="A272" s="15" t="s">
        <v>950</v>
      </c>
      <c r="B272" s="16">
        <v>45956</v>
      </c>
      <c r="C272" s="15" t="s">
        <v>951</v>
      </c>
      <c r="D272" s="15" t="s">
        <v>952</v>
      </c>
      <c r="E272" s="16">
        <v>45956</v>
      </c>
      <c r="F272" s="15" t="s">
        <v>145</v>
      </c>
      <c r="G272" s="15" t="s">
        <v>178</v>
      </c>
      <c r="H272" s="15" t="s">
        <v>179</v>
      </c>
      <c r="I272" s="15" t="s">
        <v>368</v>
      </c>
      <c r="J272" s="17">
        <v>1</v>
      </c>
      <c r="K272" s="15" t="s">
        <v>149</v>
      </c>
      <c r="L272" s="15" t="s">
        <v>140</v>
      </c>
      <c r="M272" s="15"/>
      <c r="N272" s="15" t="s">
        <v>235</v>
      </c>
      <c r="O272" s="15"/>
      <c r="P272" s="17">
        <v>71</v>
      </c>
      <c r="Q272" s="15"/>
    </row>
    <row r="273" spans="1:17" x14ac:dyDescent="0.3">
      <c r="A273" s="15" t="s">
        <v>953</v>
      </c>
      <c r="B273" s="16">
        <v>45952</v>
      </c>
      <c r="C273" s="15" t="s">
        <v>954</v>
      </c>
      <c r="D273" s="15" t="s">
        <v>955</v>
      </c>
      <c r="E273" s="16">
        <v>45950</v>
      </c>
      <c r="F273" s="15" t="s">
        <v>123</v>
      </c>
      <c r="G273" s="15" t="s">
        <v>171</v>
      </c>
      <c r="H273" s="15" t="s">
        <v>147</v>
      </c>
      <c r="I273" s="15" t="s">
        <v>264</v>
      </c>
      <c r="J273" s="17">
        <v>1</v>
      </c>
      <c r="K273" s="15" t="s">
        <v>290</v>
      </c>
      <c r="L273" s="15" t="s">
        <v>159</v>
      </c>
      <c r="M273" s="15" t="s">
        <v>188</v>
      </c>
      <c r="N273" s="15"/>
      <c r="O273" s="17">
        <v>5</v>
      </c>
      <c r="P273" s="17">
        <v>42</v>
      </c>
      <c r="Q273" s="15" t="s">
        <v>291</v>
      </c>
    </row>
    <row r="274" spans="1:17" x14ac:dyDescent="0.3">
      <c r="A274" s="15" t="s">
        <v>956</v>
      </c>
      <c r="B274" s="16">
        <v>45918</v>
      </c>
      <c r="C274" s="15" t="s">
        <v>957</v>
      </c>
      <c r="D274" s="15" t="s">
        <v>611</v>
      </c>
      <c r="E274" s="16">
        <v>45916</v>
      </c>
      <c r="F274" s="15" t="s">
        <v>198</v>
      </c>
      <c r="G274" s="15" t="s">
        <v>146</v>
      </c>
      <c r="H274" s="15" t="s">
        <v>147</v>
      </c>
      <c r="I274" s="15" t="s">
        <v>958</v>
      </c>
      <c r="J274" s="17">
        <v>2</v>
      </c>
      <c r="K274" s="15" t="s">
        <v>201</v>
      </c>
      <c r="L274" s="15" t="s">
        <v>140</v>
      </c>
      <c r="M274" s="15"/>
      <c r="N274" s="15" t="s">
        <v>130</v>
      </c>
      <c r="O274" s="17">
        <v>5</v>
      </c>
      <c r="P274" s="17">
        <v>23</v>
      </c>
      <c r="Q274" s="15"/>
    </row>
    <row r="275" spans="1:17" x14ac:dyDescent="0.3">
      <c r="A275" s="15" t="s">
        <v>959</v>
      </c>
      <c r="B275" s="16">
        <v>45879</v>
      </c>
      <c r="C275" s="15" t="s">
        <v>960</v>
      </c>
      <c r="D275" s="15" t="s">
        <v>961</v>
      </c>
      <c r="E275" s="16">
        <v>45879</v>
      </c>
      <c r="F275" s="15" t="s">
        <v>123</v>
      </c>
      <c r="G275" s="15" t="s">
        <v>339</v>
      </c>
      <c r="H275" s="15" t="s">
        <v>233</v>
      </c>
      <c r="I275" s="15" t="s">
        <v>234</v>
      </c>
      <c r="J275" s="17">
        <v>2</v>
      </c>
      <c r="K275" s="15" t="s">
        <v>127</v>
      </c>
      <c r="L275" s="15" t="s">
        <v>128</v>
      </c>
      <c r="M275" s="15"/>
      <c r="N275" s="15" t="s">
        <v>130</v>
      </c>
      <c r="O275" s="17">
        <v>3</v>
      </c>
      <c r="P275" s="17">
        <v>45</v>
      </c>
      <c r="Q275" s="15" t="s">
        <v>224</v>
      </c>
    </row>
    <row r="276" spans="1:17" x14ac:dyDescent="0.3">
      <c r="A276" s="15" t="s">
        <v>962</v>
      </c>
      <c r="B276" s="16">
        <v>45898</v>
      </c>
      <c r="C276" s="15" t="s">
        <v>963</v>
      </c>
      <c r="D276" s="15" t="s">
        <v>964</v>
      </c>
      <c r="E276" s="16">
        <v>45898</v>
      </c>
      <c r="F276" s="15" t="s">
        <v>413</v>
      </c>
      <c r="G276" s="15" t="s">
        <v>216</v>
      </c>
      <c r="H276" s="15" t="s">
        <v>125</v>
      </c>
      <c r="I276" s="15" t="s">
        <v>382</v>
      </c>
      <c r="J276" s="17">
        <v>1</v>
      </c>
      <c r="K276" s="15" t="s">
        <v>265</v>
      </c>
      <c r="L276" s="15" t="s">
        <v>159</v>
      </c>
      <c r="M276" s="15"/>
      <c r="N276" s="15" t="s">
        <v>130</v>
      </c>
      <c r="O276" s="17">
        <v>5</v>
      </c>
      <c r="P276" s="17">
        <v>15</v>
      </c>
      <c r="Q276" s="15"/>
    </row>
    <row r="277" spans="1:17" x14ac:dyDescent="0.3">
      <c r="A277" s="15" t="s">
        <v>965</v>
      </c>
      <c r="B277" s="16">
        <v>45962</v>
      </c>
      <c r="C277" s="15" t="s">
        <v>966</v>
      </c>
      <c r="D277" s="15" t="s">
        <v>967</v>
      </c>
      <c r="E277" s="16">
        <v>45928</v>
      </c>
      <c r="F277" s="15" t="s">
        <v>170</v>
      </c>
      <c r="G277" s="15" t="s">
        <v>216</v>
      </c>
      <c r="H277" s="15" t="s">
        <v>125</v>
      </c>
      <c r="I277" s="15" t="s">
        <v>126</v>
      </c>
      <c r="J277" s="17">
        <v>1</v>
      </c>
      <c r="K277" s="15" t="s">
        <v>173</v>
      </c>
      <c r="L277" s="15" t="s">
        <v>159</v>
      </c>
      <c r="M277" s="15" t="s">
        <v>188</v>
      </c>
      <c r="N277" s="15" t="s">
        <v>130</v>
      </c>
      <c r="O277" s="17">
        <v>4</v>
      </c>
      <c r="P277" s="17">
        <v>44</v>
      </c>
      <c r="Q277" s="15" t="s">
        <v>141</v>
      </c>
    </row>
    <row r="278" spans="1:17" x14ac:dyDescent="0.3">
      <c r="A278" s="15" t="s">
        <v>968</v>
      </c>
      <c r="B278" s="16">
        <v>45956</v>
      </c>
      <c r="C278" s="15" t="s">
        <v>355</v>
      </c>
      <c r="D278" s="15" t="s">
        <v>969</v>
      </c>
      <c r="E278" s="16">
        <v>45956</v>
      </c>
      <c r="F278" s="15" t="s">
        <v>170</v>
      </c>
      <c r="G278" s="15" t="s">
        <v>538</v>
      </c>
      <c r="H278" s="15" t="s">
        <v>351</v>
      </c>
      <c r="I278" s="15" t="s">
        <v>352</v>
      </c>
      <c r="J278" s="17">
        <v>1</v>
      </c>
      <c r="K278" s="15" t="s">
        <v>173</v>
      </c>
      <c r="L278" s="15" t="s">
        <v>128</v>
      </c>
      <c r="M278" s="15" t="s">
        <v>182</v>
      </c>
      <c r="N278" s="15" t="s">
        <v>130</v>
      </c>
      <c r="O278" s="17">
        <v>3</v>
      </c>
      <c r="P278" s="17">
        <v>61</v>
      </c>
      <c r="Q278" s="15"/>
    </row>
    <row r="279" spans="1:17" x14ac:dyDescent="0.3">
      <c r="A279" s="15" t="s">
        <v>970</v>
      </c>
      <c r="B279" s="16">
        <v>45968</v>
      </c>
      <c r="C279" s="15" t="s">
        <v>750</v>
      </c>
      <c r="D279" s="15" t="s">
        <v>867</v>
      </c>
      <c r="E279" s="16">
        <v>45880</v>
      </c>
      <c r="F279" s="15" t="s">
        <v>259</v>
      </c>
      <c r="G279" s="15" t="s">
        <v>232</v>
      </c>
      <c r="H279" s="15" t="s">
        <v>233</v>
      </c>
      <c r="I279" s="15" t="s">
        <v>246</v>
      </c>
      <c r="J279" s="17">
        <v>2</v>
      </c>
      <c r="K279" s="15" t="s">
        <v>474</v>
      </c>
      <c r="L279" s="15" t="s">
        <v>159</v>
      </c>
      <c r="M279" s="15" t="s">
        <v>182</v>
      </c>
      <c r="N279" s="15"/>
      <c r="O279" s="17">
        <v>4</v>
      </c>
      <c r="P279" s="17">
        <v>44</v>
      </c>
      <c r="Q279" s="15"/>
    </row>
    <row r="280" spans="1:17" x14ac:dyDescent="0.3">
      <c r="A280" s="15" t="s">
        <v>901</v>
      </c>
      <c r="B280" s="16">
        <v>45898</v>
      </c>
      <c r="C280" s="15" t="s">
        <v>902</v>
      </c>
      <c r="D280" s="15" t="s">
        <v>751</v>
      </c>
      <c r="E280" s="16">
        <v>45880</v>
      </c>
      <c r="F280" s="15" t="s">
        <v>206</v>
      </c>
      <c r="G280" s="15" t="s">
        <v>146</v>
      </c>
      <c r="H280" s="15" t="s">
        <v>147</v>
      </c>
      <c r="I280" s="15" t="s">
        <v>148</v>
      </c>
      <c r="J280" s="17">
        <v>3</v>
      </c>
      <c r="K280" s="15" t="s">
        <v>353</v>
      </c>
      <c r="L280" s="15" t="s">
        <v>128</v>
      </c>
      <c r="M280" s="15"/>
      <c r="N280" s="15" t="s">
        <v>130</v>
      </c>
      <c r="O280" s="17">
        <v>5</v>
      </c>
      <c r="P280" s="17">
        <v>43</v>
      </c>
      <c r="Q280" s="15"/>
    </row>
    <row r="281" spans="1:17" x14ac:dyDescent="0.3">
      <c r="A281" s="15" t="s">
        <v>971</v>
      </c>
      <c r="B281" s="16">
        <v>45922</v>
      </c>
      <c r="C281" s="15" t="s">
        <v>972</v>
      </c>
      <c r="D281" s="15" t="s">
        <v>973</v>
      </c>
      <c r="E281" s="16">
        <v>45921</v>
      </c>
      <c r="F281" s="15" t="s">
        <v>135</v>
      </c>
      <c r="G281" s="15" t="s">
        <v>199</v>
      </c>
      <c r="H281" s="15" t="s">
        <v>179</v>
      </c>
      <c r="I281" s="15" t="s">
        <v>453</v>
      </c>
      <c r="J281" s="17">
        <v>4</v>
      </c>
      <c r="K281" s="15" t="s">
        <v>139</v>
      </c>
      <c r="L281" s="15" t="s">
        <v>128</v>
      </c>
      <c r="M281" s="15" t="s">
        <v>188</v>
      </c>
      <c r="N281" s="15" t="s">
        <v>130</v>
      </c>
      <c r="O281" s="17">
        <v>5</v>
      </c>
      <c r="P281" s="17">
        <v>33</v>
      </c>
      <c r="Q281" s="15"/>
    </row>
    <row r="282" spans="1:17" x14ac:dyDescent="0.3">
      <c r="A282" s="15" t="s">
        <v>974</v>
      </c>
      <c r="B282" s="16">
        <v>45954</v>
      </c>
      <c r="C282" s="15" t="s">
        <v>975</v>
      </c>
      <c r="D282" s="15" t="s">
        <v>611</v>
      </c>
      <c r="E282" s="16">
        <v>45916</v>
      </c>
      <c r="F282" s="15" t="s">
        <v>177</v>
      </c>
      <c r="G282" s="15" t="s">
        <v>178</v>
      </c>
      <c r="H282" s="15" t="s">
        <v>179</v>
      </c>
      <c r="I282" s="15" t="s">
        <v>976</v>
      </c>
      <c r="J282" s="17">
        <v>3</v>
      </c>
      <c r="K282" s="15" t="s">
        <v>181</v>
      </c>
      <c r="L282" s="15" t="s">
        <v>278</v>
      </c>
      <c r="M282" s="15"/>
      <c r="N282" s="15" t="s">
        <v>130</v>
      </c>
      <c r="O282" s="17">
        <v>5</v>
      </c>
      <c r="P282" s="17">
        <v>27</v>
      </c>
      <c r="Q282" s="15" t="s">
        <v>141</v>
      </c>
    </row>
    <row r="283" spans="1:17" x14ac:dyDescent="0.3">
      <c r="A283" s="15" t="s">
        <v>977</v>
      </c>
      <c r="B283" s="16">
        <v>45963</v>
      </c>
      <c r="C283" s="15" t="s">
        <v>978</v>
      </c>
      <c r="D283" s="15" t="s">
        <v>287</v>
      </c>
      <c r="E283" s="16">
        <v>45918</v>
      </c>
      <c r="F283" s="15" t="s">
        <v>123</v>
      </c>
      <c r="G283" s="15" t="s">
        <v>350</v>
      </c>
      <c r="H283" s="15" t="s">
        <v>351</v>
      </c>
      <c r="I283" s="15" t="s">
        <v>352</v>
      </c>
      <c r="J283" s="17">
        <v>1</v>
      </c>
      <c r="K283" s="15" t="s">
        <v>127</v>
      </c>
      <c r="L283" s="15" t="s">
        <v>159</v>
      </c>
      <c r="M283" s="15"/>
      <c r="N283" s="15" t="s">
        <v>130</v>
      </c>
      <c r="O283" s="17">
        <v>5</v>
      </c>
      <c r="P283" s="17">
        <v>44</v>
      </c>
      <c r="Q283" s="15" t="s">
        <v>131</v>
      </c>
    </row>
    <row r="284" spans="1:17" x14ac:dyDescent="0.3">
      <c r="A284" s="15" t="s">
        <v>979</v>
      </c>
      <c r="B284" s="16">
        <v>46048</v>
      </c>
      <c r="C284" s="15" t="s">
        <v>527</v>
      </c>
      <c r="D284" s="15" t="s">
        <v>528</v>
      </c>
      <c r="E284" s="16">
        <v>45891</v>
      </c>
      <c r="F284" s="15" t="s">
        <v>198</v>
      </c>
      <c r="G284" s="15" t="s">
        <v>178</v>
      </c>
      <c r="H284" s="15" t="s">
        <v>179</v>
      </c>
      <c r="I284" s="15" t="s">
        <v>980</v>
      </c>
      <c r="J284" s="17">
        <v>1</v>
      </c>
      <c r="K284" s="15" t="s">
        <v>213</v>
      </c>
      <c r="L284" s="15" t="s">
        <v>140</v>
      </c>
      <c r="M284" s="15" t="s">
        <v>529</v>
      </c>
      <c r="N284" s="15" t="s">
        <v>279</v>
      </c>
      <c r="O284" s="15"/>
      <c r="P284" s="17">
        <v>40</v>
      </c>
      <c r="Q284" s="15" t="s">
        <v>284</v>
      </c>
    </row>
    <row r="285" spans="1:17" x14ac:dyDescent="0.3">
      <c r="A285" s="15" t="s">
        <v>981</v>
      </c>
      <c r="B285" s="16">
        <v>45998</v>
      </c>
      <c r="C285" s="15" t="s">
        <v>982</v>
      </c>
      <c r="D285" s="15" t="s">
        <v>983</v>
      </c>
      <c r="E285" s="16">
        <v>45964</v>
      </c>
      <c r="F285" s="15" t="s">
        <v>145</v>
      </c>
      <c r="G285" s="15" t="s">
        <v>178</v>
      </c>
      <c r="H285" s="15" t="s">
        <v>179</v>
      </c>
      <c r="I285" s="15" t="s">
        <v>368</v>
      </c>
      <c r="J285" s="17">
        <v>1</v>
      </c>
      <c r="K285" s="15" t="s">
        <v>307</v>
      </c>
      <c r="L285" s="15" t="s">
        <v>128</v>
      </c>
      <c r="M285" s="15"/>
      <c r="N285" s="15" t="s">
        <v>279</v>
      </c>
      <c r="O285" s="15"/>
      <c r="P285" s="17">
        <v>53</v>
      </c>
      <c r="Q285" s="15"/>
    </row>
    <row r="286" spans="1:17" x14ac:dyDescent="0.3">
      <c r="A286" s="15" t="s">
        <v>984</v>
      </c>
      <c r="B286" s="16">
        <v>46016</v>
      </c>
      <c r="C286" s="15" t="s">
        <v>780</v>
      </c>
      <c r="D286" s="15" t="s">
        <v>781</v>
      </c>
      <c r="E286" s="16">
        <v>45722</v>
      </c>
      <c r="F286" s="15" t="s">
        <v>135</v>
      </c>
      <c r="G286" s="15" t="s">
        <v>339</v>
      </c>
      <c r="H286" s="15" t="s">
        <v>233</v>
      </c>
      <c r="I286" s="15" t="s">
        <v>985</v>
      </c>
      <c r="J286" s="17">
        <v>1</v>
      </c>
      <c r="K286" s="15" t="s">
        <v>265</v>
      </c>
      <c r="L286" s="15" t="s">
        <v>140</v>
      </c>
      <c r="M286" s="15"/>
      <c r="N286" s="15" t="s">
        <v>279</v>
      </c>
      <c r="O286" s="15"/>
      <c r="P286" s="17">
        <v>26</v>
      </c>
      <c r="Q286" s="15" t="s">
        <v>280</v>
      </c>
    </row>
    <row r="287" spans="1:17" x14ac:dyDescent="0.3">
      <c r="A287" s="15" t="s">
        <v>986</v>
      </c>
      <c r="B287" s="16">
        <v>46004</v>
      </c>
      <c r="C287" s="15" t="s">
        <v>921</v>
      </c>
      <c r="D287" s="15" t="s">
        <v>922</v>
      </c>
      <c r="E287" s="16">
        <v>45871</v>
      </c>
      <c r="F287" s="15" t="s">
        <v>123</v>
      </c>
      <c r="G287" s="15" t="s">
        <v>199</v>
      </c>
      <c r="H287" s="15" t="s">
        <v>179</v>
      </c>
      <c r="I287" s="15" t="s">
        <v>180</v>
      </c>
      <c r="J287" s="17">
        <v>3</v>
      </c>
      <c r="K287" s="15" t="s">
        <v>127</v>
      </c>
      <c r="L287" s="15" t="s">
        <v>159</v>
      </c>
      <c r="M287" s="15" t="s">
        <v>336</v>
      </c>
      <c r="N287" s="15" t="s">
        <v>130</v>
      </c>
      <c r="O287" s="17">
        <v>4</v>
      </c>
      <c r="P287" s="17">
        <v>44</v>
      </c>
      <c r="Q287" s="15"/>
    </row>
    <row r="288" spans="1:17" x14ac:dyDescent="0.3">
      <c r="A288" s="15" t="s">
        <v>987</v>
      </c>
      <c r="B288" s="16">
        <v>45955</v>
      </c>
      <c r="C288" s="15" t="s">
        <v>988</v>
      </c>
      <c r="D288" s="15" t="s">
        <v>689</v>
      </c>
      <c r="E288" s="16">
        <v>45927</v>
      </c>
      <c r="F288" s="15" t="s">
        <v>123</v>
      </c>
      <c r="G288" s="15" t="s">
        <v>178</v>
      </c>
      <c r="H288" s="15" t="s">
        <v>179</v>
      </c>
      <c r="I288" s="15" t="s">
        <v>421</v>
      </c>
      <c r="J288" s="17">
        <v>2</v>
      </c>
      <c r="K288" s="15" t="s">
        <v>166</v>
      </c>
      <c r="L288" s="15" t="s">
        <v>128</v>
      </c>
      <c r="M288" s="15" t="s">
        <v>188</v>
      </c>
      <c r="N288" s="15" t="s">
        <v>130</v>
      </c>
      <c r="O288" s="17">
        <v>4</v>
      </c>
      <c r="P288" s="17">
        <v>38</v>
      </c>
      <c r="Q288" s="15" t="s">
        <v>291</v>
      </c>
    </row>
    <row r="289" spans="1:17" x14ac:dyDescent="0.3">
      <c r="A289" s="15" t="s">
        <v>989</v>
      </c>
      <c r="B289" s="16">
        <v>46009</v>
      </c>
      <c r="C289" s="15" t="s">
        <v>990</v>
      </c>
      <c r="D289" s="15" t="s">
        <v>991</v>
      </c>
      <c r="E289" s="16">
        <v>46007</v>
      </c>
      <c r="F289" s="15" t="s">
        <v>123</v>
      </c>
      <c r="G289" s="15" t="s">
        <v>288</v>
      </c>
      <c r="H289" s="15" t="s">
        <v>156</v>
      </c>
      <c r="I289" s="15" t="s">
        <v>389</v>
      </c>
      <c r="J289" s="17">
        <v>4</v>
      </c>
      <c r="K289" s="15" t="s">
        <v>127</v>
      </c>
      <c r="L289" s="15" t="s">
        <v>247</v>
      </c>
      <c r="M289" s="15" t="s">
        <v>336</v>
      </c>
      <c r="N289" s="15" t="s">
        <v>130</v>
      </c>
      <c r="O289" s="17">
        <v>5</v>
      </c>
      <c r="P289" s="17">
        <v>39</v>
      </c>
      <c r="Q289" s="15"/>
    </row>
    <row r="290" spans="1:17" x14ac:dyDescent="0.3">
      <c r="A290" s="15" t="s">
        <v>992</v>
      </c>
      <c r="B290" s="16">
        <v>46043</v>
      </c>
      <c r="C290" s="15" t="s">
        <v>993</v>
      </c>
      <c r="D290" s="15" t="s">
        <v>495</v>
      </c>
      <c r="E290" s="16">
        <v>45947</v>
      </c>
      <c r="F290" s="15" t="s">
        <v>206</v>
      </c>
      <c r="G290" s="15" t="s">
        <v>331</v>
      </c>
      <c r="H290" s="15" t="s">
        <v>164</v>
      </c>
      <c r="I290" s="15" t="s">
        <v>393</v>
      </c>
      <c r="J290" s="17">
        <v>1</v>
      </c>
      <c r="K290" s="15" t="s">
        <v>358</v>
      </c>
      <c r="L290" s="15" t="s">
        <v>140</v>
      </c>
      <c r="M290" s="15"/>
      <c r="N290" s="15" t="s">
        <v>130</v>
      </c>
      <c r="O290" s="17">
        <v>4</v>
      </c>
      <c r="P290" s="17">
        <v>44</v>
      </c>
      <c r="Q290" s="15" t="s">
        <v>291</v>
      </c>
    </row>
    <row r="291" spans="1:17" x14ac:dyDescent="0.3">
      <c r="A291" s="15" t="s">
        <v>994</v>
      </c>
      <c r="B291" s="16">
        <v>45958</v>
      </c>
      <c r="C291" s="15" t="s">
        <v>121</v>
      </c>
      <c r="D291" s="15" t="s">
        <v>409</v>
      </c>
      <c r="E291" s="16">
        <v>45955</v>
      </c>
      <c r="F291" s="15" t="s">
        <v>294</v>
      </c>
      <c r="G291" s="15" t="s">
        <v>171</v>
      </c>
      <c r="H291" s="15" t="s">
        <v>147</v>
      </c>
      <c r="I291" s="15" t="s">
        <v>172</v>
      </c>
      <c r="J291" s="17">
        <v>3</v>
      </c>
      <c r="K291" s="15" t="s">
        <v>213</v>
      </c>
      <c r="L291" s="15" t="s">
        <v>247</v>
      </c>
      <c r="M291" s="15" t="s">
        <v>182</v>
      </c>
      <c r="N291" s="15" t="s">
        <v>130</v>
      </c>
      <c r="O291" s="15"/>
      <c r="P291" s="17">
        <v>26</v>
      </c>
      <c r="Q291" s="15"/>
    </row>
    <row r="292" spans="1:17" x14ac:dyDescent="0.3">
      <c r="A292" s="15" t="s">
        <v>995</v>
      </c>
      <c r="B292" s="16">
        <v>45893</v>
      </c>
      <c r="C292" s="15" t="s">
        <v>988</v>
      </c>
      <c r="D292" s="15" t="s">
        <v>508</v>
      </c>
      <c r="E292" s="16">
        <v>45701</v>
      </c>
      <c r="F292" s="15" t="s">
        <v>294</v>
      </c>
      <c r="G292" s="15" t="s">
        <v>216</v>
      </c>
      <c r="H292" s="15" t="s">
        <v>125</v>
      </c>
      <c r="I292" s="15" t="s">
        <v>571</v>
      </c>
      <c r="J292" s="17">
        <v>1</v>
      </c>
      <c r="K292" s="15" t="s">
        <v>201</v>
      </c>
      <c r="L292" s="15" t="s">
        <v>159</v>
      </c>
      <c r="M292" s="15"/>
      <c r="N292" s="15" t="s">
        <v>130</v>
      </c>
      <c r="O292" s="17">
        <v>3</v>
      </c>
      <c r="P292" s="17">
        <v>21</v>
      </c>
      <c r="Q292" s="15"/>
    </row>
    <row r="293" spans="1:17" x14ac:dyDescent="0.3">
      <c r="A293" s="15" t="s">
        <v>996</v>
      </c>
      <c r="B293" s="16">
        <v>46026</v>
      </c>
      <c r="C293" s="15" t="s">
        <v>237</v>
      </c>
      <c r="D293" s="15" t="s">
        <v>997</v>
      </c>
      <c r="E293" s="16">
        <v>45878</v>
      </c>
      <c r="F293" s="15" t="s">
        <v>135</v>
      </c>
      <c r="G293" s="15" t="s">
        <v>136</v>
      </c>
      <c r="H293" s="15" t="s">
        <v>137</v>
      </c>
      <c r="I293" s="15" t="s">
        <v>593</v>
      </c>
      <c r="J293" s="17">
        <v>3</v>
      </c>
      <c r="K293" s="15" t="s">
        <v>187</v>
      </c>
      <c r="L293" s="15" t="s">
        <v>128</v>
      </c>
      <c r="M293" s="15" t="s">
        <v>336</v>
      </c>
      <c r="N293" s="15" t="s">
        <v>130</v>
      </c>
      <c r="O293" s="17">
        <v>4</v>
      </c>
      <c r="P293" s="17">
        <v>32</v>
      </c>
      <c r="Q293" s="15"/>
    </row>
    <row r="294" spans="1:17" x14ac:dyDescent="0.3">
      <c r="A294" s="15" t="s">
        <v>998</v>
      </c>
      <c r="B294" s="16">
        <v>46012</v>
      </c>
      <c r="C294" s="15" t="s">
        <v>610</v>
      </c>
      <c r="D294" s="15" t="s">
        <v>611</v>
      </c>
      <c r="E294" s="16">
        <v>45916</v>
      </c>
      <c r="F294" s="15" t="s">
        <v>135</v>
      </c>
      <c r="G294" s="15" t="s">
        <v>163</v>
      </c>
      <c r="H294" s="15" t="s">
        <v>164</v>
      </c>
      <c r="I294" s="15" t="s">
        <v>517</v>
      </c>
      <c r="J294" s="17">
        <v>3</v>
      </c>
      <c r="K294" s="15" t="s">
        <v>277</v>
      </c>
      <c r="L294" s="15" t="s">
        <v>128</v>
      </c>
      <c r="M294" s="15"/>
      <c r="N294" s="15" t="s">
        <v>130</v>
      </c>
      <c r="O294" s="17">
        <v>5</v>
      </c>
      <c r="P294" s="17">
        <v>32</v>
      </c>
      <c r="Q294" s="15" t="s">
        <v>141</v>
      </c>
    </row>
    <row r="295" spans="1:17" x14ac:dyDescent="0.3">
      <c r="A295" s="15" t="s">
        <v>999</v>
      </c>
      <c r="B295" s="16">
        <v>46025</v>
      </c>
      <c r="C295" s="15" t="s">
        <v>1000</v>
      </c>
      <c r="D295" s="15" t="s">
        <v>385</v>
      </c>
      <c r="E295" s="16">
        <v>45948</v>
      </c>
      <c r="F295" s="15" t="s">
        <v>425</v>
      </c>
      <c r="G295" s="15" t="s">
        <v>136</v>
      </c>
      <c r="H295" s="15" t="s">
        <v>137</v>
      </c>
      <c r="I295" s="15" t="s">
        <v>593</v>
      </c>
      <c r="J295" s="17">
        <v>3</v>
      </c>
      <c r="K295" s="15" t="s">
        <v>358</v>
      </c>
      <c r="L295" s="15" t="s">
        <v>128</v>
      </c>
      <c r="M295" s="15"/>
      <c r="N295" s="15" t="s">
        <v>130</v>
      </c>
      <c r="O295" s="17">
        <v>5</v>
      </c>
      <c r="P295" s="17">
        <v>50</v>
      </c>
      <c r="Q295" s="15" t="s">
        <v>291</v>
      </c>
    </row>
    <row r="296" spans="1:17" x14ac:dyDescent="0.3">
      <c r="A296" s="15" t="s">
        <v>1001</v>
      </c>
      <c r="B296" s="16">
        <v>46015</v>
      </c>
      <c r="C296" s="15" t="s">
        <v>1002</v>
      </c>
      <c r="D296" s="15" t="s">
        <v>887</v>
      </c>
      <c r="E296" s="16">
        <v>45947</v>
      </c>
      <c r="F296" s="15" t="s">
        <v>123</v>
      </c>
      <c r="G296" s="15" t="s">
        <v>171</v>
      </c>
      <c r="H296" s="15" t="s">
        <v>147</v>
      </c>
      <c r="I296" s="15" t="s">
        <v>787</v>
      </c>
      <c r="J296" s="17">
        <v>1</v>
      </c>
      <c r="K296" s="15" t="s">
        <v>290</v>
      </c>
      <c r="L296" s="15" t="s">
        <v>247</v>
      </c>
      <c r="M296" s="15"/>
      <c r="N296" s="15" t="s">
        <v>130</v>
      </c>
      <c r="O296" s="17">
        <v>4</v>
      </c>
      <c r="P296" s="17">
        <v>40</v>
      </c>
      <c r="Q296" s="15"/>
    </row>
    <row r="297" spans="1:17" x14ac:dyDescent="0.3">
      <c r="A297" s="15" t="s">
        <v>1003</v>
      </c>
      <c r="B297" s="16">
        <v>46036</v>
      </c>
      <c r="C297" s="15" t="s">
        <v>828</v>
      </c>
      <c r="D297" s="15" t="s">
        <v>598</v>
      </c>
      <c r="E297" s="16">
        <v>45904</v>
      </c>
      <c r="F297" s="15" t="s">
        <v>228</v>
      </c>
      <c r="G297" s="15" t="s">
        <v>124</v>
      </c>
      <c r="H297" s="15" t="s">
        <v>125</v>
      </c>
      <c r="I297" s="15" t="s">
        <v>217</v>
      </c>
      <c r="J297" s="17">
        <v>1</v>
      </c>
      <c r="K297" s="15" t="s">
        <v>139</v>
      </c>
      <c r="L297" s="15" t="s">
        <v>128</v>
      </c>
      <c r="M297" s="15"/>
      <c r="N297" s="15" t="s">
        <v>130</v>
      </c>
      <c r="O297" s="15"/>
      <c r="P297" s="17">
        <v>26</v>
      </c>
      <c r="Q297" s="15"/>
    </row>
    <row r="298" spans="1:17" x14ac:dyDescent="0.3">
      <c r="A298" s="15" t="s">
        <v>1004</v>
      </c>
      <c r="B298" s="16">
        <v>45942</v>
      </c>
      <c r="C298" s="15" t="s">
        <v>613</v>
      </c>
      <c r="D298" s="15" t="s">
        <v>614</v>
      </c>
      <c r="E298" s="16">
        <v>45940</v>
      </c>
      <c r="F298" s="15" t="s">
        <v>198</v>
      </c>
      <c r="G298" s="15" t="s">
        <v>124</v>
      </c>
      <c r="H298" s="15" t="s">
        <v>125</v>
      </c>
      <c r="I298" s="15" t="s">
        <v>1005</v>
      </c>
      <c r="J298" s="17">
        <v>4</v>
      </c>
      <c r="K298" s="15" t="s">
        <v>201</v>
      </c>
      <c r="L298" s="15" t="s">
        <v>159</v>
      </c>
      <c r="M298" s="15" t="s">
        <v>188</v>
      </c>
      <c r="N298" s="15" t="s">
        <v>130</v>
      </c>
      <c r="O298" s="17">
        <v>4</v>
      </c>
      <c r="P298" s="17">
        <v>33</v>
      </c>
      <c r="Q298" s="15" t="s">
        <v>302</v>
      </c>
    </row>
    <row r="299" spans="1:17" x14ac:dyDescent="0.3">
      <c r="A299" s="15" t="s">
        <v>1006</v>
      </c>
      <c r="B299" s="16"/>
      <c r="C299" s="15" t="s">
        <v>243</v>
      </c>
      <c r="D299" s="15" t="s">
        <v>501</v>
      </c>
      <c r="E299" s="16">
        <v>45952</v>
      </c>
      <c r="F299" s="15" t="s">
        <v>206</v>
      </c>
      <c r="G299" s="15" t="s">
        <v>124</v>
      </c>
      <c r="H299" s="15" t="s">
        <v>125</v>
      </c>
      <c r="I299" s="15" t="s">
        <v>571</v>
      </c>
      <c r="J299" s="17">
        <v>4</v>
      </c>
      <c r="K299" s="15" t="s">
        <v>298</v>
      </c>
      <c r="L299" s="15" t="s">
        <v>159</v>
      </c>
      <c r="M299" s="15"/>
      <c r="N299" s="15" t="s">
        <v>130</v>
      </c>
      <c r="O299" s="17">
        <v>5</v>
      </c>
      <c r="P299" s="17">
        <v>54</v>
      </c>
      <c r="Q299" s="15"/>
    </row>
    <row r="300" spans="1:17" x14ac:dyDescent="0.3">
      <c r="A300" s="15" t="s">
        <v>1007</v>
      </c>
      <c r="B300" s="16">
        <v>46053</v>
      </c>
      <c r="C300" s="15" t="s">
        <v>1008</v>
      </c>
      <c r="D300" s="15" t="s">
        <v>272</v>
      </c>
      <c r="E300" s="16">
        <v>45873</v>
      </c>
      <c r="F300" s="15" t="s">
        <v>367</v>
      </c>
      <c r="G300" s="15" t="s">
        <v>124</v>
      </c>
      <c r="H300" s="15" t="s">
        <v>125</v>
      </c>
      <c r="I300" s="15" t="s">
        <v>1009</v>
      </c>
      <c r="J300" s="17">
        <v>1</v>
      </c>
      <c r="K300" s="15" t="s">
        <v>127</v>
      </c>
      <c r="L300" s="15" t="s">
        <v>159</v>
      </c>
      <c r="M300" s="15"/>
      <c r="N300" s="15" t="s">
        <v>130</v>
      </c>
      <c r="O300" s="17">
        <v>4</v>
      </c>
      <c r="P300" s="17">
        <v>9</v>
      </c>
      <c r="Q300" s="15"/>
    </row>
    <row r="301" spans="1:17" x14ac:dyDescent="0.3">
      <c r="A301" s="15" t="s">
        <v>1010</v>
      </c>
      <c r="B301" s="16">
        <v>46010</v>
      </c>
      <c r="C301" s="15" t="s">
        <v>1011</v>
      </c>
      <c r="D301" s="15" t="s">
        <v>1012</v>
      </c>
      <c r="E301" s="16">
        <v>45917</v>
      </c>
      <c r="F301" s="15" t="s">
        <v>198</v>
      </c>
      <c r="G301" s="15" t="s">
        <v>232</v>
      </c>
      <c r="H301" s="15" t="s">
        <v>233</v>
      </c>
      <c r="I301" s="15" t="s">
        <v>246</v>
      </c>
      <c r="J301" s="17">
        <v>2</v>
      </c>
      <c r="K301" s="15" t="s">
        <v>201</v>
      </c>
      <c r="L301" s="15" t="s">
        <v>128</v>
      </c>
      <c r="M301" s="15"/>
      <c r="N301" s="15" t="s">
        <v>130</v>
      </c>
      <c r="O301" s="17">
        <v>5</v>
      </c>
      <c r="P301" s="17">
        <v>32</v>
      </c>
      <c r="Q301" s="15"/>
    </row>
    <row r="302" spans="1:17" x14ac:dyDescent="0.3">
      <c r="A302" s="15" t="s">
        <v>1013</v>
      </c>
      <c r="B302" s="16">
        <v>45911</v>
      </c>
      <c r="C302" s="15" t="s">
        <v>1014</v>
      </c>
      <c r="D302" s="15" t="s">
        <v>919</v>
      </c>
      <c r="E302" s="16">
        <v>45909</v>
      </c>
      <c r="F302" s="15" t="s">
        <v>198</v>
      </c>
      <c r="G302" s="15" t="s">
        <v>245</v>
      </c>
      <c r="H302" s="15" t="s">
        <v>233</v>
      </c>
      <c r="I302" s="15" t="s">
        <v>246</v>
      </c>
      <c r="J302" s="17">
        <v>3</v>
      </c>
      <c r="K302" s="15" t="s">
        <v>213</v>
      </c>
      <c r="L302" s="15" t="s">
        <v>278</v>
      </c>
      <c r="M302" s="15"/>
      <c r="N302" s="15" t="s">
        <v>130</v>
      </c>
      <c r="O302" s="17">
        <v>4</v>
      </c>
      <c r="P302" s="17">
        <v>43</v>
      </c>
      <c r="Q302" s="15" t="s">
        <v>291</v>
      </c>
    </row>
    <row r="303" spans="1:17" x14ac:dyDescent="0.3">
      <c r="A303" s="15" t="s">
        <v>1015</v>
      </c>
      <c r="B303" s="16">
        <v>46027</v>
      </c>
      <c r="C303" s="15" t="s">
        <v>1016</v>
      </c>
      <c r="D303" s="15" t="s">
        <v>709</v>
      </c>
      <c r="E303" s="16">
        <v>45881</v>
      </c>
      <c r="F303" s="15" t="s">
        <v>206</v>
      </c>
      <c r="G303" s="15" t="s">
        <v>178</v>
      </c>
      <c r="H303" s="15" t="s">
        <v>179</v>
      </c>
      <c r="I303" s="15" t="s">
        <v>465</v>
      </c>
      <c r="J303" s="17">
        <v>1</v>
      </c>
      <c r="K303" s="15" t="s">
        <v>353</v>
      </c>
      <c r="L303" s="15" t="s">
        <v>159</v>
      </c>
      <c r="M303" s="15"/>
      <c r="N303" s="15" t="s">
        <v>130</v>
      </c>
      <c r="O303" s="17">
        <v>5</v>
      </c>
      <c r="P303" s="17">
        <v>37</v>
      </c>
      <c r="Q303" s="15"/>
    </row>
    <row r="304" spans="1:17" x14ac:dyDescent="0.3">
      <c r="A304" s="15" t="s">
        <v>1017</v>
      </c>
      <c r="B304" s="16">
        <v>46004</v>
      </c>
      <c r="C304" s="15" t="s">
        <v>274</v>
      </c>
      <c r="D304" s="15" t="s">
        <v>275</v>
      </c>
      <c r="E304" s="16">
        <v>45956</v>
      </c>
      <c r="F304" s="15" t="s">
        <v>135</v>
      </c>
      <c r="G304" s="15" t="s">
        <v>331</v>
      </c>
      <c r="H304" s="15" t="s">
        <v>164</v>
      </c>
      <c r="I304" s="15" t="s">
        <v>756</v>
      </c>
      <c r="J304" s="17">
        <v>1</v>
      </c>
      <c r="K304" s="15" t="s">
        <v>139</v>
      </c>
      <c r="L304" s="15" t="s">
        <v>140</v>
      </c>
      <c r="M304" s="15" t="s">
        <v>129</v>
      </c>
      <c r="N304" s="15" t="s">
        <v>130</v>
      </c>
      <c r="O304" s="17">
        <v>4</v>
      </c>
      <c r="P304" s="17">
        <v>23</v>
      </c>
      <c r="Q304" s="15"/>
    </row>
    <row r="305" spans="1:17" x14ac:dyDescent="0.3">
      <c r="A305" s="15" t="s">
        <v>1018</v>
      </c>
      <c r="B305" s="16">
        <v>45957</v>
      </c>
      <c r="C305" s="15" t="s">
        <v>557</v>
      </c>
      <c r="D305" s="15" t="s">
        <v>558</v>
      </c>
      <c r="E305" s="16">
        <v>45895</v>
      </c>
      <c r="F305" s="15" t="s">
        <v>206</v>
      </c>
      <c r="G305" s="15" t="s">
        <v>163</v>
      </c>
      <c r="H305" s="15" t="s">
        <v>164</v>
      </c>
      <c r="I305" s="15" t="s">
        <v>332</v>
      </c>
      <c r="J305" s="17">
        <v>1</v>
      </c>
      <c r="K305" s="15" t="s">
        <v>208</v>
      </c>
      <c r="L305" s="15" t="s">
        <v>128</v>
      </c>
      <c r="M305" s="15" t="s">
        <v>182</v>
      </c>
      <c r="N305" s="15" t="s">
        <v>130</v>
      </c>
      <c r="O305" s="17">
        <v>4</v>
      </c>
      <c r="P305" s="17">
        <v>47</v>
      </c>
      <c r="Q305" s="15" t="s">
        <v>291</v>
      </c>
    </row>
    <row r="306" spans="1:17" x14ac:dyDescent="0.3">
      <c r="A306" s="15" t="s">
        <v>1019</v>
      </c>
      <c r="B306" s="16">
        <v>45965</v>
      </c>
      <c r="C306" s="15" t="s">
        <v>262</v>
      </c>
      <c r="D306" s="15" t="s">
        <v>940</v>
      </c>
      <c r="E306" s="16">
        <v>45873</v>
      </c>
      <c r="F306" s="15" t="s">
        <v>228</v>
      </c>
      <c r="G306" s="15" t="s">
        <v>232</v>
      </c>
      <c r="H306" s="15" t="s">
        <v>233</v>
      </c>
      <c r="I306" s="15" t="s">
        <v>499</v>
      </c>
      <c r="J306" s="17">
        <v>1</v>
      </c>
      <c r="K306" s="15" t="s">
        <v>139</v>
      </c>
      <c r="L306" s="15" t="s">
        <v>140</v>
      </c>
      <c r="M306" s="15"/>
      <c r="N306" s="15" t="s">
        <v>130</v>
      </c>
      <c r="O306" s="17">
        <v>4</v>
      </c>
      <c r="P306" s="17">
        <v>29</v>
      </c>
      <c r="Q306" s="15"/>
    </row>
    <row r="307" spans="1:17" x14ac:dyDescent="0.3">
      <c r="A307" s="15" t="s">
        <v>1020</v>
      </c>
      <c r="B307" s="16">
        <v>45969</v>
      </c>
      <c r="C307" s="15" t="s">
        <v>1021</v>
      </c>
      <c r="D307" s="15" t="s">
        <v>1022</v>
      </c>
      <c r="E307" s="16">
        <v>45922</v>
      </c>
      <c r="F307" s="15" t="s">
        <v>198</v>
      </c>
      <c r="G307" s="15" t="s">
        <v>245</v>
      </c>
      <c r="H307" s="15" t="s">
        <v>233</v>
      </c>
      <c r="I307" s="15" t="s">
        <v>363</v>
      </c>
      <c r="J307" s="17">
        <v>1</v>
      </c>
      <c r="K307" s="15" t="s">
        <v>201</v>
      </c>
      <c r="L307" s="15" t="s">
        <v>247</v>
      </c>
      <c r="M307" s="15" t="s">
        <v>336</v>
      </c>
      <c r="N307" s="15" t="s">
        <v>130</v>
      </c>
      <c r="O307" s="17">
        <v>4</v>
      </c>
      <c r="P307" s="17">
        <v>37</v>
      </c>
      <c r="Q307" s="15"/>
    </row>
    <row r="308" spans="1:17" x14ac:dyDescent="0.3">
      <c r="A308" s="15" t="s">
        <v>1023</v>
      </c>
      <c r="B308" s="16">
        <v>45984</v>
      </c>
      <c r="C308" s="15" t="s">
        <v>489</v>
      </c>
      <c r="D308" s="15" t="s">
        <v>490</v>
      </c>
      <c r="E308" s="16">
        <v>45926</v>
      </c>
      <c r="F308" s="15" t="s">
        <v>198</v>
      </c>
      <c r="G308" s="15" t="s">
        <v>163</v>
      </c>
      <c r="H308" s="15" t="s">
        <v>164</v>
      </c>
      <c r="I308" s="15" t="s">
        <v>372</v>
      </c>
      <c r="J308" s="17">
        <v>2</v>
      </c>
      <c r="K308" s="15" t="s">
        <v>213</v>
      </c>
      <c r="L308" s="15" t="s">
        <v>140</v>
      </c>
      <c r="M308" s="15"/>
      <c r="N308" s="15" t="s">
        <v>130</v>
      </c>
      <c r="O308" s="17">
        <v>4</v>
      </c>
      <c r="P308" s="17">
        <v>32</v>
      </c>
      <c r="Q308" s="15"/>
    </row>
    <row r="309" spans="1:17" x14ac:dyDescent="0.3">
      <c r="A309" s="15" t="s">
        <v>903</v>
      </c>
      <c r="B309" s="16">
        <v>45960</v>
      </c>
      <c r="C309" s="15" t="s">
        <v>691</v>
      </c>
      <c r="D309" s="15" t="s">
        <v>692</v>
      </c>
      <c r="E309" s="16">
        <v>45960</v>
      </c>
      <c r="F309" s="15" t="s">
        <v>198</v>
      </c>
      <c r="G309" s="15" t="s">
        <v>245</v>
      </c>
      <c r="H309" s="15" t="s">
        <v>233</v>
      </c>
      <c r="I309" s="15" t="s">
        <v>904</v>
      </c>
      <c r="J309" s="17">
        <v>1</v>
      </c>
      <c r="K309" s="15" t="s">
        <v>251</v>
      </c>
      <c r="L309" s="15" t="s">
        <v>128</v>
      </c>
      <c r="M309" s="15" t="s">
        <v>182</v>
      </c>
      <c r="N309" s="15" t="s">
        <v>130</v>
      </c>
      <c r="O309" s="15"/>
      <c r="P309" s="17">
        <v>4</v>
      </c>
      <c r="Q309" s="15"/>
    </row>
    <row r="310" spans="1:17" x14ac:dyDescent="0.3">
      <c r="A310" s="15" t="s">
        <v>1024</v>
      </c>
      <c r="B310" s="16">
        <v>45947</v>
      </c>
      <c r="C310" s="15" t="s">
        <v>444</v>
      </c>
      <c r="D310" s="15" t="s">
        <v>753</v>
      </c>
      <c r="E310" s="16">
        <v>45947</v>
      </c>
      <c r="F310" s="15" t="s">
        <v>135</v>
      </c>
      <c r="G310" s="15" t="s">
        <v>146</v>
      </c>
      <c r="H310" s="15" t="s">
        <v>147</v>
      </c>
      <c r="I310" s="15" t="s">
        <v>1025</v>
      </c>
      <c r="J310" s="17">
        <v>2</v>
      </c>
      <c r="K310" s="15" t="s">
        <v>223</v>
      </c>
      <c r="L310" s="15" t="s">
        <v>159</v>
      </c>
      <c r="M310" s="15" t="s">
        <v>188</v>
      </c>
      <c r="N310" s="15" t="s">
        <v>130</v>
      </c>
      <c r="O310" s="15"/>
      <c r="P310" s="17">
        <v>20</v>
      </c>
      <c r="Q310" s="15"/>
    </row>
    <row r="311" spans="1:17" x14ac:dyDescent="0.3">
      <c r="A311" s="15" t="s">
        <v>1026</v>
      </c>
      <c r="B311" s="16">
        <v>46011</v>
      </c>
      <c r="C311" s="15" t="s">
        <v>204</v>
      </c>
      <c r="D311" s="15" t="s">
        <v>205</v>
      </c>
      <c r="E311" s="16">
        <v>45957</v>
      </c>
      <c r="F311" s="15" t="s">
        <v>135</v>
      </c>
      <c r="G311" s="15" t="s">
        <v>331</v>
      </c>
      <c r="H311" s="15" t="s">
        <v>164</v>
      </c>
      <c r="I311" s="15" t="s">
        <v>393</v>
      </c>
      <c r="J311" s="17">
        <v>3</v>
      </c>
      <c r="K311" s="15" t="s">
        <v>277</v>
      </c>
      <c r="L311" s="15" t="s">
        <v>140</v>
      </c>
      <c r="M311" s="15"/>
      <c r="N311" s="15" t="s">
        <v>279</v>
      </c>
      <c r="O311" s="15"/>
      <c r="P311" s="17">
        <v>23</v>
      </c>
      <c r="Q311" s="15" t="s">
        <v>359</v>
      </c>
    </row>
    <row r="312" spans="1:17" x14ac:dyDescent="0.3">
      <c r="A312" s="15" t="s">
        <v>1027</v>
      </c>
      <c r="B312" s="16">
        <v>46046</v>
      </c>
      <c r="C312" s="15" t="s">
        <v>610</v>
      </c>
      <c r="D312" s="15" t="s">
        <v>611</v>
      </c>
      <c r="E312" s="16">
        <v>45916</v>
      </c>
      <c r="F312" s="15" t="s">
        <v>259</v>
      </c>
      <c r="G312" s="15" t="s">
        <v>350</v>
      </c>
      <c r="H312" s="15" t="s">
        <v>351</v>
      </c>
      <c r="I312" s="15" t="s">
        <v>352</v>
      </c>
      <c r="J312" s="17">
        <v>4</v>
      </c>
      <c r="K312" s="15" t="s">
        <v>474</v>
      </c>
      <c r="L312" s="15" t="s">
        <v>140</v>
      </c>
      <c r="M312" s="15"/>
      <c r="N312" s="15" t="s">
        <v>235</v>
      </c>
      <c r="O312" s="15"/>
      <c r="P312" s="17">
        <v>46</v>
      </c>
      <c r="Q312" s="15"/>
    </row>
    <row r="313" spans="1:17" x14ac:dyDescent="0.3">
      <c r="A313" s="15" t="s">
        <v>911</v>
      </c>
      <c r="B313" s="16">
        <v>45956</v>
      </c>
      <c r="C313" s="15" t="s">
        <v>853</v>
      </c>
      <c r="D313" s="15" t="s">
        <v>781</v>
      </c>
      <c r="E313" s="16">
        <v>45722</v>
      </c>
      <c r="F313" s="15" t="s">
        <v>135</v>
      </c>
      <c r="G313" s="15" t="s">
        <v>178</v>
      </c>
      <c r="H313" s="15" t="s">
        <v>179</v>
      </c>
      <c r="I313" s="15" t="s">
        <v>180</v>
      </c>
      <c r="J313" s="17">
        <v>3</v>
      </c>
      <c r="K313" s="15" t="s">
        <v>218</v>
      </c>
      <c r="L313" s="15" t="s">
        <v>140</v>
      </c>
      <c r="M313" s="15" t="s">
        <v>182</v>
      </c>
      <c r="N313" s="15" t="s">
        <v>130</v>
      </c>
      <c r="O313" s="15"/>
      <c r="P313" s="17">
        <v>28</v>
      </c>
      <c r="Q313" s="15"/>
    </row>
    <row r="314" spans="1:17" x14ac:dyDescent="0.3">
      <c r="A314" s="15" t="s">
        <v>1028</v>
      </c>
      <c r="B314" s="16">
        <v>46014</v>
      </c>
      <c r="C314" s="15" t="s">
        <v>1029</v>
      </c>
      <c r="D314" s="15" t="s">
        <v>727</v>
      </c>
      <c r="E314" s="16">
        <v>45874</v>
      </c>
      <c r="F314" s="15" t="s">
        <v>145</v>
      </c>
      <c r="G314" s="15" t="s">
        <v>232</v>
      </c>
      <c r="H314" s="15" t="s">
        <v>233</v>
      </c>
      <c r="I314" s="15" t="s">
        <v>363</v>
      </c>
      <c r="J314" s="17">
        <v>1</v>
      </c>
      <c r="K314" s="15" t="s">
        <v>307</v>
      </c>
      <c r="L314" s="15" t="s">
        <v>159</v>
      </c>
      <c r="M314" s="15"/>
      <c r="N314" s="15" t="s">
        <v>130</v>
      </c>
      <c r="O314" s="17">
        <v>4</v>
      </c>
      <c r="P314" s="17">
        <v>19</v>
      </c>
      <c r="Q314" s="15"/>
    </row>
    <row r="315" spans="1:17" x14ac:dyDescent="0.3">
      <c r="A315" s="15" t="s">
        <v>1030</v>
      </c>
      <c r="B315" s="16">
        <v>46050</v>
      </c>
      <c r="C315" s="15" t="s">
        <v>600</v>
      </c>
      <c r="D315" s="15" t="s">
        <v>1031</v>
      </c>
      <c r="E315" s="16">
        <v>45963</v>
      </c>
      <c r="F315" s="15" t="s">
        <v>206</v>
      </c>
      <c r="G315" s="15" t="s">
        <v>538</v>
      </c>
      <c r="H315" s="15" t="s">
        <v>351</v>
      </c>
      <c r="I315" s="15" t="s">
        <v>539</v>
      </c>
      <c r="J315" s="17">
        <v>2</v>
      </c>
      <c r="K315" s="15" t="s">
        <v>353</v>
      </c>
      <c r="L315" s="15" t="s">
        <v>140</v>
      </c>
      <c r="M315" s="15" t="s">
        <v>529</v>
      </c>
      <c r="N315" s="15" t="s">
        <v>130</v>
      </c>
      <c r="O315" s="17">
        <v>5</v>
      </c>
      <c r="P315" s="17">
        <v>33</v>
      </c>
      <c r="Q315" s="15"/>
    </row>
    <row r="316" spans="1:17" x14ac:dyDescent="0.3">
      <c r="A316" s="15" t="s">
        <v>1032</v>
      </c>
      <c r="B316" s="16">
        <v>46007</v>
      </c>
      <c r="C316" s="15" t="s">
        <v>531</v>
      </c>
      <c r="D316" s="15" t="s">
        <v>585</v>
      </c>
      <c r="E316" s="16">
        <v>45909</v>
      </c>
      <c r="F316" s="15" t="s">
        <v>145</v>
      </c>
      <c r="G316" s="15" t="s">
        <v>288</v>
      </c>
      <c r="H316" s="15" t="s">
        <v>156</v>
      </c>
      <c r="I316" s="15" t="s">
        <v>389</v>
      </c>
      <c r="J316" s="17">
        <v>1</v>
      </c>
      <c r="K316" s="15" t="s">
        <v>307</v>
      </c>
      <c r="L316" s="15" t="s">
        <v>247</v>
      </c>
      <c r="M316" s="15"/>
      <c r="N316" s="15" t="s">
        <v>130</v>
      </c>
      <c r="O316" s="17">
        <v>5</v>
      </c>
      <c r="P316" s="17">
        <v>53</v>
      </c>
      <c r="Q316" s="15"/>
    </row>
    <row r="317" spans="1:17" x14ac:dyDescent="0.3">
      <c r="A317" s="15" t="s">
        <v>1033</v>
      </c>
      <c r="B317" s="16">
        <v>46017</v>
      </c>
      <c r="C317" s="15" t="s">
        <v>1034</v>
      </c>
      <c r="D317" s="15" t="s">
        <v>326</v>
      </c>
      <c r="E317" s="16">
        <v>45881</v>
      </c>
      <c r="F317" s="15" t="s">
        <v>259</v>
      </c>
      <c r="G317" s="15" t="s">
        <v>350</v>
      </c>
      <c r="H317" s="15" t="s">
        <v>351</v>
      </c>
      <c r="I317" s="15" t="s">
        <v>638</v>
      </c>
      <c r="J317" s="17">
        <v>1</v>
      </c>
      <c r="K317" s="15" t="s">
        <v>260</v>
      </c>
      <c r="L317" s="15" t="s">
        <v>128</v>
      </c>
      <c r="M317" s="15" t="s">
        <v>518</v>
      </c>
      <c r="N317" s="15" t="s">
        <v>130</v>
      </c>
      <c r="O317" s="17">
        <v>2</v>
      </c>
      <c r="P317" s="17">
        <v>67</v>
      </c>
      <c r="Q317" s="15"/>
    </row>
    <row r="318" spans="1:17" x14ac:dyDescent="0.3">
      <c r="A318" s="15" t="s">
        <v>1035</v>
      </c>
      <c r="B318" s="16">
        <v>45954</v>
      </c>
      <c r="C318" s="15" t="s">
        <v>430</v>
      </c>
      <c r="D318" s="15" t="s">
        <v>431</v>
      </c>
      <c r="E318" s="16">
        <v>45917</v>
      </c>
      <c r="F318" s="15" t="s">
        <v>170</v>
      </c>
      <c r="G318" s="15" t="s">
        <v>199</v>
      </c>
      <c r="H318" s="15" t="s">
        <v>179</v>
      </c>
      <c r="I318" s="15" t="s">
        <v>465</v>
      </c>
      <c r="J318" s="17">
        <v>1</v>
      </c>
      <c r="K318" s="15" t="s">
        <v>173</v>
      </c>
      <c r="L318" s="15" t="s">
        <v>278</v>
      </c>
      <c r="M318" s="15" t="s">
        <v>188</v>
      </c>
      <c r="N318" s="15" t="s">
        <v>130</v>
      </c>
      <c r="O318" s="17">
        <v>3</v>
      </c>
      <c r="P318" s="17">
        <v>3</v>
      </c>
      <c r="Q318" s="15"/>
    </row>
    <row r="319" spans="1:17" x14ac:dyDescent="0.3">
      <c r="A319" s="15" t="s">
        <v>1036</v>
      </c>
      <c r="B319" s="16">
        <v>45980</v>
      </c>
      <c r="C319" s="15" t="s">
        <v>610</v>
      </c>
      <c r="D319" s="15" t="s">
        <v>611</v>
      </c>
      <c r="E319" s="16">
        <v>45916</v>
      </c>
      <c r="F319" s="15" t="s">
        <v>135</v>
      </c>
      <c r="G319" s="15" t="s">
        <v>339</v>
      </c>
      <c r="H319" s="15" t="s">
        <v>233</v>
      </c>
      <c r="I319" s="15" t="s">
        <v>1037</v>
      </c>
      <c r="J319" s="17">
        <v>2</v>
      </c>
      <c r="K319" s="15" t="s">
        <v>187</v>
      </c>
      <c r="L319" s="15" t="s">
        <v>159</v>
      </c>
      <c r="M319" s="15"/>
      <c r="N319" s="15" t="s">
        <v>130</v>
      </c>
      <c r="O319" s="17">
        <v>4</v>
      </c>
      <c r="P319" s="17">
        <v>28</v>
      </c>
      <c r="Q319" s="15" t="s">
        <v>131</v>
      </c>
    </row>
    <row r="320" spans="1:17" x14ac:dyDescent="0.3">
      <c r="A320" s="15" t="s">
        <v>1038</v>
      </c>
      <c r="B320" s="16">
        <v>46012</v>
      </c>
      <c r="C320" s="15" t="s">
        <v>764</v>
      </c>
      <c r="D320" s="15" t="s">
        <v>765</v>
      </c>
      <c r="E320" s="16">
        <v>45767</v>
      </c>
      <c r="F320" s="15" t="s">
        <v>145</v>
      </c>
      <c r="G320" s="15" t="s">
        <v>199</v>
      </c>
      <c r="H320" s="15" t="s">
        <v>179</v>
      </c>
      <c r="I320" s="15" t="s">
        <v>723</v>
      </c>
      <c r="J320" s="17">
        <v>3</v>
      </c>
      <c r="K320" s="15" t="s">
        <v>149</v>
      </c>
      <c r="L320" s="15" t="s">
        <v>140</v>
      </c>
      <c r="M320" s="15"/>
      <c r="N320" s="15" t="s">
        <v>279</v>
      </c>
      <c r="O320" s="15"/>
      <c r="P320" s="17">
        <v>62</v>
      </c>
      <c r="Q320" s="15" t="s">
        <v>359</v>
      </c>
    </row>
    <row r="321" spans="1:17" x14ac:dyDescent="0.3">
      <c r="A321" s="15" t="s">
        <v>1039</v>
      </c>
      <c r="B321" s="16">
        <v>45951</v>
      </c>
      <c r="C321" s="15" t="s">
        <v>963</v>
      </c>
      <c r="D321" s="15" t="s">
        <v>964</v>
      </c>
      <c r="E321" s="16">
        <v>45898</v>
      </c>
      <c r="F321" s="15" t="s">
        <v>198</v>
      </c>
      <c r="G321" s="15" t="s">
        <v>538</v>
      </c>
      <c r="H321" s="15" t="s">
        <v>351</v>
      </c>
      <c r="I321" s="15" t="s">
        <v>638</v>
      </c>
      <c r="J321" s="17">
        <v>1</v>
      </c>
      <c r="K321" s="15" t="s">
        <v>213</v>
      </c>
      <c r="L321" s="15" t="s">
        <v>128</v>
      </c>
      <c r="M321" s="15" t="s">
        <v>188</v>
      </c>
      <c r="N321" s="15" t="s">
        <v>130</v>
      </c>
      <c r="O321" s="17">
        <v>5</v>
      </c>
      <c r="P321" s="17">
        <v>24</v>
      </c>
      <c r="Q321" s="15" t="s">
        <v>364</v>
      </c>
    </row>
    <row r="322" spans="1:17" x14ac:dyDescent="0.3">
      <c r="A322" s="15" t="s">
        <v>1040</v>
      </c>
      <c r="B322" s="16">
        <v>45970</v>
      </c>
      <c r="C322" s="15" t="s">
        <v>220</v>
      </c>
      <c r="D322" s="15" t="s">
        <v>221</v>
      </c>
      <c r="E322" s="16">
        <v>45904</v>
      </c>
      <c r="F322" s="15" t="s">
        <v>135</v>
      </c>
      <c r="G322" s="15" t="s">
        <v>331</v>
      </c>
      <c r="H322" s="15" t="s">
        <v>164</v>
      </c>
      <c r="I322" s="15" t="s">
        <v>517</v>
      </c>
      <c r="J322" s="17">
        <v>2</v>
      </c>
      <c r="K322" s="15" t="s">
        <v>265</v>
      </c>
      <c r="L322" s="15" t="s">
        <v>140</v>
      </c>
      <c r="M322" s="15"/>
      <c r="N322" s="15" t="s">
        <v>130</v>
      </c>
      <c r="O322" s="15"/>
      <c r="P322" s="17">
        <v>36</v>
      </c>
      <c r="Q322" s="15"/>
    </row>
    <row r="323" spans="1:17" x14ac:dyDescent="0.3">
      <c r="A323" s="15" t="s">
        <v>1041</v>
      </c>
      <c r="B323" s="16">
        <v>45956</v>
      </c>
      <c r="C323" s="15" t="s">
        <v>1042</v>
      </c>
      <c r="D323" s="15" t="s">
        <v>1043</v>
      </c>
      <c r="E323" s="16">
        <v>45845</v>
      </c>
      <c r="F323" s="15" t="s">
        <v>1044</v>
      </c>
      <c r="G323" s="15" t="s">
        <v>245</v>
      </c>
      <c r="H323" s="15" t="s">
        <v>233</v>
      </c>
      <c r="I323" s="15" t="s">
        <v>276</v>
      </c>
      <c r="J323" s="17">
        <v>2</v>
      </c>
      <c r="K323" s="15" t="s">
        <v>713</v>
      </c>
      <c r="L323" s="15" t="s">
        <v>140</v>
      </c>
      <c r="M323" s="15"/>
      <c r="N323" s="15" t="s">
        <v>130</v>
      </c>
      <c r="O323" s="17">
        <v>4</v>
      </c>
      <c r="P323" s="17">
        <v>26</v>
      </c>
      <c r="Q323" s="15" t="s">
        <v>291</v>
      </c>
    </row>
    <row r="324" spans="1:17" x14ac:dyDescent="0.3">
      <c r="A324" s="15" t="s">
        <v>1045</v>
      </c>
      <c r="B324" s="16">
        <v>45911</v>
      </c>
      <c r="C324" s="15" t="s">
        <v>1046</v>
      </c>
      <c r="D324" s="15" t="s">
        <v>814</v>
      </c>
      <c r="E324" s="16">
        <v>45880</v>
      </c>
      <c r="F324" s="15" t="s">
        <v>1047</v>
      </c>
      <c r="G324" s="15" t="s">
        <v>199</v>
      </c>
      <c r="H324" s="15" t="s">
        <v>179</v>
      </c>
      <c r="I324" s="15" t="s">
        <v>1048</v>
      </c>
      <c r="J324" s="17">
        <v>2</v>
      </c>
      <c r="K324" s="15" t="s">
        <v>173</v>
      </c>
      <c r="L324" s="15" t="s">
        <v>159</v>
      </c>
      <c r="M324" s="15"/>
      <c r="N324" s="15" t="s">
        <v>130</v>
      </c>
      <c r="O324" s="17">
        <v>3</v>
      </c>
      <c r="P324" s="17">
        <v>44</v>
      </c>
      <c r="Q324" s="15" t="s">
        <v>826</v>
      </c>
    </row>
    <row r="325" spans="1:17" x14ac:dyDescent="0.3">
      <c r="A325" s="15" t="s">
        <v>1049</v>
      </c>
      <c r="B325" s="16">
        <v>46022</v>
      </c>
      <c r="C325" s="15" t="s">
        <v>1050</v>
      </c>
      <c r="D325" s="15" t="s">
        <v>907</v>
      </c>
      <c r="E325" s="16">
        <v>45962</v>
      </c>
      <c r="F325" s="15" t="s">
        <v>135</v>
      </c>
      <c r="G325" s="15" t="s">
        <v>136</v>
      </c>
      <c r="H325" s="15" t="s">
        <v>137</v>
      </c>
      <c r="I325" s="15" t="s">
        <v>138</v>
      </c>
      <c r="J325" s="17">
        <v>1</v>
      </c>
      <c r="K325" s="15" t="s">
        <v>265</v>
      </c>
      <c r="L325" s="15" t="s">
        <v>128</v>
      </c>
      <c r="M325" s="15"/>
      <c r="N325" s="15" t="s">
        <v>235</v>
      </c>
      <c r="O325" s="15"/>
      <c r="P325" s="17">
        <v>19</v>
      </c>
      <c r="Q325" s="15"/>
    </row>
    <row r="326" spans="1:17" x14ac:dyDescent="0.3">
      <c r="A326" s="15" t="s">
        <v>1051</v>
      </c>
      <c r="B326" s="16">
        <v>46049</v>
      </c>
      <c r="C326" s="15" t="s">
        <v>1052</v>
      </c>
      <c r="D326" s="15" t="s">
        <v>1053</v>
      </c>
      <c r="E326" s="16">
        <v>45871</v>
      </c>
      <c r="F326" s="15" t="s">
        <v>145</v>
      </c>
      <c r="G326" s="15" t="s">
        <v>216</v>
      </c>
      <c r="H326" s="15" t="s">
        <v>125</v>
      </c>
      <c r="I326" s="15" t="s">
        <v>571</v>
      </c>
      <c r="J326" s="17">
        <v>1</v>
      </c>
      <c r="K326" s="15" t="s">
        <v>307</v>
      </c>
      <c r="L326" s="15" t="s">
        <v>140</v>
      </c>
      <c r="M326" s="15" t="s">
        <v>336</v>
      </c>
      <c r="N326" s="15" t="s">
        <v>130</v>
      </c>
      <c r="O326" s="17">
        <v>3</v>
      </c>
      <c r="P326" s="17">
        <v>56</v>
      </c>
      <c r="Q326" s="15"/>
    </row>
    <row r="327" spans="1:17" x14ac:dyDescent="0.3">
      <c r="A327" s="15" t="s">
        <v>1054</v>
      </c>
      <c r="B327" s="16">
        <v>45991</v>
      </c>
      <c r="C327" s="15" t="s">
        <v>1055</v>
      </c>
      <c r="D327" s="15" t="s">
        <v>250</v>
      </c>
      <c r="E327" s="16">
        <v>45874</v>
      </c>
      <c r="F327" s="15" t="s">
        <v>170</v>
      </c>
      <c r="G327" s="15" t="s">
        <v>288</v>
      </c>
      <c r="H327" s="15" t="s">
        <v>156</v>
      </c>
      <c r="I327" s="15" t="s">
        <v>1056</v>
      </c>
      <c r="J327" s="17">
        <v>2</v>
      </c>
      <c r="K327" s="15" t="s">
        <v>158</v>
      </c>
      <c r="L327" s="15" t="s">
        <v>128</v>
      </c>
      <c r="M327" s="15"/>
      <c r="N327" s="15" t="s">
        <v>130</v>
      </c>
      <c r="O327" s="17">
        <v>3</v>
      </c>
      <c r="P327" s="17">
        <v>52</v>
      </c>
      <c r="Q327" s="15"/>
    </row>
    <row r="329" spans="1:17" x14ac:dyDescent="0.3">
      <c r="A329" s="23" t="s">
        <v>1296</v>
      </c>
      <c r="B329" s="25">
        <f>MIN(B2:B327)</f>
        <v>45871</v>
      </c>
    </row>
    <row r="330" spans="1:17" x14ac:dyDescent="0.3">
      <c r="A330" s="23" t="s">
        <v>1297</v>
      </c>
      <c r="B330" s="25">
        <f>MAX(B2:B327)</f>
        <v>46053</v>
      </c>
    </row>
    <row r="332" spans="1:17" x14ac:dyDescent="0.3">
      <c r="A332" s="23" t="s">
        <v>1298</v>
      </c>
      <c r="B332" s="26">
        <f>MIN(P2:P327)</f>
        <v>2</v>
      </c>
    </row>
    <row r="333" spans="1:17" x14ac:dyDescent="0.3">
      <c r="A333" s="23" t="s">
        <v>1299</v>
      </c>
      <c r="B333" s="26">
        <f>MAX(P2:P327)</f>
        <v>610</v>
      </c>
    </row>
    <row r="336" spans="1:17" x14ac:dyDescent="0.3">
      <c r="A336" t="s">
        <v>1300</v>
      </c>
      <c r="B336" s="26">
        <f>AVERAGE(O4:O327)</f>
        <v>4.087301587301587</v>
      </c>
    </row>
    <row r="339" spans="1:2" x14ac:dyDescent="0.3">
      <c r="A339" t="s">
        <v>1301</v>
      </c>
      <c r="B339">
        <f>COUNT(O2:O328)</f>
        <v>254</v>
      </c>
    </row>
    <row r="340" spans="1:2" x14ac:dyDescent="0.3">
      <c r="A340" t="s">
        <v>1302</v>
      </c>
      <c r="B340">
        <f>COUNTA(A2:A327)</f>
        <v>326</v>
      </c>
    </row>
  </sheetData>
  <phoneticPr fontId="1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
  <sheetViews>
    <sheetView workbookViewId="0">
      <pane ySplit="1" topLeftCell="A2" activePane="bottomLeft" state="frozen"/>
      <selection pane="bottomLeft"/>
    </sheetView>
  </sheetViews>
  <sheetFormatPr defaultRowHeight="14.4" x14ac:dyDescent="0.3"/>
  <cols>
    <col min="1" max="1" width="14" customWidth="1"/>
    <col min="2" max="2" width="16" customWidth="1"/>
    <col min="3" max="3" width="20" customWidth="1"/>
  </cols>
  <sheetData>
    <row r="1" spans="1:3" ht="30" customHeight="1" x14ac:dyDescent="0.3">
      <c r="A1" s="18" t="s">
        <v>108</v>
      </c>
      <c r="B1" s="18" t="s">
        <v>1105</v>
      </c>
      <c r="C1" s="18" t="s">
        <v>1106</v>
      </c>
    </row>
    <row r="2" spans="1:3" x14ac:dyDescent="0.3">
      <c r="A2" s="15" t="s">
        <v>135</v>
      </c>
      <c r="B2" s="15" t="s">
        <v>1107</v>
      </c>
      <c r="C2" s="19">
        <v>50</v>
      </c>
    </row>
    <row r="3" spans="1:3" x14ac:dyDescent="0.3">
      <c r="A3" s="15" t="s">
        <v>198</v>
      </c>
      <c r="B3" s="15" t="s">
        <v>1107</v>
      </c>
      <c r="C3" s="19">
        <v>50</v>
      </c>
    </row>
    <row r="4" spans="1:3" x14ac:dyDescent="0.3">
      <c r="A4" s="15" t="s">
        <v>177</v>
      </c>
      <c r="B4" s="15" t="s">
        <v>1107</v>
      </c>
      <c r="C4" s="19">
        <v>55</v>
      </c>
    </row>
    <row r="5" spans="1:3" x14ac:dyDescent="0.3">
      <c r="A5" s="15" t="s">
        <v>206</v>
      </c>
      <c r="B5" s="15" t="s">
        <v>1108</v>
      </c>
      <c r="C5" s="19">
        <v>70</v>
      </c>
    </row>
    <row r="6" spans="1:3" x14ac:dyDescent="0.3">
      <c r="A6" s="15" t="s">
        <v>123</v>
      </c>
      <c r="B6" s="15" t="s">
        <v>1108</v>
      </c>
      <c r="C6" s="19">
        <v>90</v>
      </c>
    </row>
    <row r="7" spans="1:3" x14ac:dyDescent="0.3">
      <c r="A7" s="15" t="s">
        <v>170</v>
      </c>
      <c r="B7" s="15" t="s">
        <v>1108</v>
      </c>
      <c r="C7" s="19">
        <v>85</v>
      </c>
    </row>
    <row r="8" spans="1:3" x14ac:dyDescent="0.3">
      <c r="A8" s="15" t="s">
        <v>145</v>
      </c>
      <c r="B8" s="15" t="s">
        <v>1108</v>
      </c>
      <c r="C8" s="19">
        <v>80</v>
      </c>
    </row>
    <row r="9" spans="1:3" x14ac:dyDescent="0.3">
      <c r="A9" s="15" t="s">
        <v>259</v>
      </c>
      <c r="B9" s="15" t="s">
        <v>1108</v>
      </c>
      <c r="C9" s="19">
        <v>95</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1D19-6709-4CBB-BA6A-966269476F90}">
  <dimension ref="A1:G84"/>
  <sheetViews>
    <sheetView topLeftCell="A13" zoomScale="66" workbookViewId="0">
      <selection activeCell="R44" sqref="R44"/>
    </sheetView>
  </sheetViews>
  <sheetFormatPr defaultRowHeight="14.4" x14ac:dyDescent="0.3"/>
  <cols>
    <col min="1" max="1" width="16.44140625" customWidth="1"/>
    <col min="2" max="2" width="13.109375" customWidth="1"/>
    <col min="3" max="3" width="21.44140625" customWidth="1"/>
    <col min="4" max="4" width="35.5546875" customWidth="1"/>
    <col min="5" max="5" width="35.6640625" customWidth="1"/>
    <col min="6" max="6" width="31" bestFit="1" customWidth="1"/>
    <col min="7" max="7" width="36.109375" bestFit="1" customWidth="1"/>
  </cols>
  <sheetData>
    <row r="1" spans="1:5" x14ac:dyDescent="0.3">
      <c r="A1" t="s">
        <v>1352</v>
      </c>
      <c r="B1" t="s">
        <v>1351</v>
      </c>
      <c r="C1" t="s">
        <v>1353</v>
      </c>
      <c r="D1" t="s">
        <v>1354</v>
      </c>
      <c r="E1" t="s">
        <v>1355</v>
      </c>
    </row>
    <row r="2" spans="1:5" x14ac:dyDescent="0.3">
      <c r="A2" s="44">
        <v>45871</v>
      </c>
      <c r="B2">
        <v>7</v>
      </c>
    </row>
    <row r="3" spans="1:5" x14ac:dyDescent="0.3">
      <c r="A3" s="44">
        <v>45878</v>
      </c>
      <c r="B3">
        <v>11</v>
      </c>
    </row>
    <row r="4" spans="1:5" x14ac:dyDescent="0.3">
      <c r="A4" s="44">
        <v>45885</v>
      </c>
      <c r="B4">
        <v>9</v>
      </c>
    </row>
    <row r="5" spans="1:5" x14ac:dyDescent="0.3">
      <c r="A5" s="44">
        <v>45892</v>
      </c>
      <c r="B5">
        <v>8</v>
      </c>
    </row>
    <row r="6" spans="1:5" x14ac:dyDescent="0.3">
      <c r="A6" s="44">
        <v>45899</v>
      </c>
      <c r="B6">
        <v>7</v>
      </c>
    </row>
    <row r="7" spans="1:5" x14ac:dyDescent="0.3">
      <c r="A7" s="44">
        <v>45906</v>
      </c>
      <c r="B7">
        <v>11</v>
      </c>
    </row>
    <row r="8" spans="1:5" x14ac:dyDescent="0.3">
      <c r="A8" s="44">
        <v>45913</v>
      </c>
      <c r="B8">
        <v>9</v>
      </c>
    </row>
    <row r="9" spans="1:5" x14ac:dyDescent="0.3">
      <c r="A9" s="44">
        <v>45920</v>
      </c>
      <c r="B9">
        <v>5</v>
      </c>
    </row>
    <row r="10" spans="1:5" x14ac:dyDescent="0.3">
      <c r="A10" s="44">
        <v>45927</v>
      </c>
      <c r="B10">
        <v>10</v>
      </c>
    </row>
    <row r="11" spans="1:5" x14ac:dyDescent="0.3">
      <c r="A11" s="44">
        <v>45934</v>
      </c>
      <c r="B11">
        <v>2</v>
      </c>
    </row>
    <row r="12" spans="1:5" x14ac:dyDescent="0.3">
      <c r="A12" s="44">
        <v>45941</v>
      </c>
      <c r="B12">
        <v>8</v>
      </c>
    </row>
    <row r="13" spans="1:5" x14ac:dyDescent="0.3">
      <c r="A13" s="44">
        <v>45948</v>
      </c>
      <c r="B13">
        <v>28</v>
      </c>
    </row>
    <row r="14" spans="1:5" x14ac:dyDescent="0.3">
      <c r="A14" s="44">
        <v>45955</v>
      </c>
      <c r="B14">
        <v>40</v>
      </c>
    </row>
    <row r="15" spans="1:5" x14ac:dyDescent="0.3">
      <c r="A15" s="44">
        <v>45962</v>
      </c>
      <c r="B15">
        <v>29</v>
      </c>
    </row>
    <row r="16" spans="1:5" x14ac:dyDescent="0.3">
      <c r="A16" s="44">
        <v>45969</v>
      </c>
      <c r="B16">
        <v>13</v>
      </c>
    </row>
    <row r="17" spans="1:7" x14ac:dyDescent="0.3">
      <c r="A17" s="44">
        <v>45976</v>
      </c>
      <c r="B17">
        <v>9</v>
      </c>
    </row>
    <row r="18" spans="1:7" x14ac:dyDescent="0.3">
      <c r="A18" s="44">
        <v>45983</v>
      </c>
      <c r="B18">
        <v>3</v>
      </c>
    </row>
    <row r="19" spans="1:7" x14ac:dyDescent="0.3">
      <c r="A19" s="44">
        <v>45990</v>
      </c>
      <c r="B19">
        <v>8</v>
      </c>
    </row>
    <row r="20" spans="1:7" x14ac:dyDescent="0.3">
      <c r="A20" s="44">
        <v>45997</v>
      </c>
      <c r="B20">
        <v>12</v>
      </c>
    </row>
    <row r="21" spans="1:7" x14ac:dyDescent="0.3">
      <c r="A21" s="44">
        <v>46004</v>
      </c>
      <c r="B21">
        <v>11</v>
      </c>
    </row>
    <row r="22" spans="1:7" x14ac:dyDescent="0.3">
      <c r="A22" s="44">
        <v>46011</v>
      </c>
      <c r="B22">
        <v>16</v>
      </c>
    </row>
    <row r="23" spans="1:7" x14ac:dyDescent="0.3">
      <c r="A23" s="44">
        <v>46018</v>
      </c>
      <c r="B23">
        <v>10</v>
      </c>
    </row>
    <row r="24" spans="1:7" x14ac:dyDescent="0.3">
      <c r="A24" s="44">
        <v>46025</v>
      </c>
      <c r="B24">
        <v>16</v>
      </c>
    </row>
    <row r="25" spans="1:7" x14ac:dyDescent="0.3">
      <c r="A25" s="44">
        <v>46032</v>
      </c>
      <c r="B25">
        <v>14</v>
      </c>
    </row>
    <row r="26" spans="1:7" x14ac:dyDescent="0.3">
      <c r="A26" s="44">
        <v>46039</v>
      </c>
      <c r="B26">
        <v>7</v>
      </c>
      <c r="G26" t="s">
        <v>1357</v>
      </c>
    </row>
    <row r="27" spans="1:7" x14ac:dyDescent="0.3">
      <c r="A27" s="44">
        <v>46046</v>
      </c>
      <c r="B27">
        <v>18</v>
      </c>
      <c r="C27">
        <f t="shared" ref="C27:C41" si="0">_xlfn.FORECAST.ETS(A27,$B$2:$B$27,$A$2:$A$27,1,1)</f>
        <v>16.994063000724552</v>
      </c>
      <c r="D27" s="45">
        <v>18</v>
      </c>
      <c r="E27" s="45">
        <v>18</v>
      </c>
    </row>
    <row r="28" spans="1:7" x14ac:dyDescent="0.3">
      <c r="A28" s="44">
        <v>46053</v>
      </c>
      <c r="C28">
        <f t="shared" si="0"/>
        <v>17.206843761182398</v>
      </c>
      <c r="D28" s="45">
        <f t="shared" ref="D28:D41" si="1">C28-_xlfn.FORECAST.ETS.CONFINT(A28,$B$2:$B$27,$A$2:$A$27,0.95,1,1)</f>
        <v>2.2408766502347159</v>
      </c>
      <c r="E28" s="45">
        <f t="shared" ref="E28:E41" si="2">C28+_xlfn.FORECAST.ETS.CONFINT(A28,$B$2:$B$27,$A$2:$A$27,0.95,1,1)</f>
        <v>32.172810872130079</v>
      </c>
      <c r="G28" cm="1">
        <f t="array" ref="G28:G41">_xlfn.FORECAST.LINEAR(A28:A41,B2:B27,A2:A27)</f>
        <v>15.147692307692296</v>
      </c>
    </row>
    <row r="29" spans="1:7" x14ac:dyDescent="0.3">
      <c r="A29" s="44">
        <v>46060</v>
      </c>
      <c r="C29">
        <f t="shared" si="0"/>
        <v>17.419624521640241</v>
      </c>
      <c r="D29" s="45">
        <f t="shared" si="1"/>
        <v>-2.7250397551202923</v>
      </c>
      <c r="E29" s="45">
        <f t="shared" si="2"/>
        <v>37.564288798400774</v>
      </c>
      <c r="G29">
        <v>15.35521367521369</v>
      </c>
    </row>
    <row r="30" spans="1:7" x14ac:dyDescent="0.3">
      <c r="A30" s="44">
        <v>46067</v>
      </c>
      <c r="C30">
        <f t="shared" si="0"/>
        <v>17.632405282098087</v>
      </c>
      <c r="D30" s="45">
        <f t="shared" si="1"/>
        <v>-6.6171032145735431</v>
      </c>
      <c r="E30" s="45">
        <f t="shared" si="2"/>
        <v>41.881913778769714</v>
      </c>
      <c r="G30">
        <v>15.562735042734857</v>
      </c>
    </row>
    <row r="31" spans="1:7" x14ac:dyDescent="0.3">
      <c r="A31" s="44">
        <v>46074</v>
      </c>
      <c r="C31">
        <f t="shared" si="0"/>
        <v>17.84518604255593</v>
      </c>
      <c r="D31" s="45">
        <f t="shared" si="1"/>
        <v>-9.9158317710362773</v>
      </c>
      <c r="E31" s="45">
        <f t="shared" si="2"/>
        <v>45.606203856148142</v>
      </c>
      <c r="G31">
        <v>15.770256410256252</v>
      </c>
    </row>
    <row r="32" spans="1:7" x14ac:dyDescent="0.3">
      <c r="A32" s="44">
        <v>46081</v>
      </c>
      <c r="C32">
        <f t="shared" si="0"/>
        <v>18.057966803013777</v>
      </c>
      <c r="D32" s="45">
        <f t="shared" si="1"/>
        <v>-12.824298171126927</v>
      </c>
      <c r="E32" s="45">
        <f t="shared" si="2"/>
        <v>48.94023177715448</v>
      </c>
      <c r="G32">
        <v>15.977777777777646</v>
      </c>
    </row>
    <row r="33" spans="1:7" x14ac:dyDescent="0.3">
      <c r="A33" s="44">
        <v>46088</v>
      </c>
      <c r="C33">
        <f t="shared" si="0"/>
        <v>18.27074756347162</v>
      </c>
      <c r="D33" s="45">
        <f t="shared" si="1"/>
        <v>-15.451050282281717</v>
      </c>
      <c r="E33" s="45">
        <f t="shared" si="2"/>
        <v>51.992545409224959</v>
      </c>
      <c r="G33">
        <v>16.185299145299041</v>
      </c>
    </row>
    <row r="34" spans="1:7" x14ac:dyDescent="0.3">
      <c r="A34" s="44">
        <v>46095</v>
      </c>
      <c r="C34">
        <f t="shared" si="0"/>
        <v>18.483528323929466</v>
      </c>
      <c r="D34" s="45">
        <f t="shared" si="1"/>
        <v>-17.86218171257109</v>
      </c>
      <c r="E34" s="45">
        <f t="shared" si="2"/>
        <v>54.829238360430026</v>
      </c>
      <c r="G34">
        <v>16.392820512820435</v>
      </c>
    </row>
    <row r="35" spans="1:7" x14ac:dyDescent="0.3">
      <c r="A35" s="44">
        <v>46102</v>
      </c>
      <c r="C35">
        <f t="shared" si="0"/>
        <v>18.696309084387309</v>
      </c>
      <c r="D35" s="45">
        <f t="shared" si="1"/>
        <v>-20.101470519811038</v>
      </c>
      <c r="E35" s="45">
        <f t="shared" si="2"/>
        <v>57.494088688585656</v>
      </c>
      <c r="G35">
        <v>16.60034188034183</v>
      </c>
    </row>
    <row r="36" spans="1:7" x14ac:dyDescent="0.3">
      <c r="A36" s="44">
        <v>46109</v>
      </c>
      <c r="C36">
        <f t="shared" si="0"/>
        <v>18.909089844845155</v>
      </c>
      <c r="D36" s="45">
        <f t="shared" si="1"/>
        <v>-22.199684040858529</v>
      </c>
      <c r="E36" s="45">
        <f t="shared" si="2"/>
        <v>60.017863730548839</v>
      </c>
      <c r="G36">
        <v>16.807863247863224</v>
      </c>
    </row>
    <row r="37" spans="1:7" x14ac:dyDescent="0.3">
      <c r="A37" s="44">
        <v>46116</v>
      </c>
      <c r="C37">
        <f t="shared" si="0"/>
        <v>19.121870605302998</v>
      </c>
      <c r="D37" s="45">
        <f t="shared" si="1"/>
        <v>-24.17942095196597</v>
      </c>
      <c r="E37" s="45">
        <f t="shared" si="2"/>
        <v>62.42316216257197</v>
      </c>
      <c r="G37">
        <v>17.015384615384619</v>
      </c>
    </row>
    <row r="38" spans="1:7" x14ac:dyDescent="0.3">
      <c r="A38" s="44">
        <v>46123</v>
      </c>
      <c r="C38">
        <f t="shared" si="0"/>
        <v>19.334651365760845</v>
      </c>
      <c r="D38" s="45">
        <f t="shared" si="1"/>
        <v>-26.057857163746423</v>
      </c>
      <c r="E38" s="45">
        <f t="shared" si="2"/>
        <v>64.727159895268116</v>
      </c>
      <c r="G38">
        <v>17.222905982906013</v>
      </c>
    </row>
    <row r="39" spans="1:7" x14ac:dyDescent="0.3">
      <c r="A39" s="44">
        <v>46130</v>
      </c>
      <c r="C39">
        <f t="shared" si="0"/>
        <v>19.547432126218688</v>
      </c>
      <c r="D39" s="45">
        <f t="shared" si="1"/>
        <v>-27.848408182479183</v>
      </c>
      <c r="E39" s="45">
        <f t="shared" si="2"/>
        <v>66.943272434916565</v>
      </c>
      <c r="G39">
        <v>17.43042735042718</v>
      </c>
    </row>
    <row r="40" spans="1:7" x14ac:dyDescent="0.3">
      <c r="A40" s="44">
        <v>46137</v>
      </c>
      <c r="C40">
        <f t="shared" si="0"/>
        <v>19.760212886676534</v>
      </c>
      <c r="D40" s="45">
        <f t="shared" si="1"/>
        <v>-29.561788718961431</v>
      </c>
      <c r="E40" s="45">
        <f t="shared" si="2"/>
        <v>69.082214492314506</v>
      </c>
      <c r="G40">
        <v>17.637948717948575</v>
      </c>
    </row>
    <row r="41" spans="1:7" x14ac:dyDescent="0.3">
      <c r="A41" s="44">
        <v>46142</v>
      </c>
      <c r="C41">
        <f t="shared" si="0"/>
        <v>19.912199144146424</v>
      </c>
      <c r="D41" s="45">
        <f t="shared" si="1"/>
        <v>-30.743689717953931</v>
      </c>
      <c r="E41" s="45">
        <f t="shared" si="2"/>
        <v>70.568088006246782</v>
      </c>
      <c r="G41">
        <v>17.78617826617824</v>
      </c>
    </row>
    <row r="79" spans="1:2" x14ac:dyDescent="0.3">
      <c r="A79" s="42" t="s">
        <v>89</v>
      </c>
      <c r="B79" t="s">
        <v>1358</v>
      </c>
    </row>
    <row r="80" spans="1:2" x14ac:dyDescent="0.3">
      <c r="B80" t="s">
        <v>1359</v>
      </c>
    </row>
    <row r="81" spans="2:2" x14ac:dyDescent="0.3">
      <c r="B81" t="s">
        <v>1360</v>
      </c>
    </row>
    <row r="82" spans="2:2" x14ac:dyDescent="0.3">
      <c r="B82" t="s">
        <v>1361</v>
      </c>
    </row>
    <row r="83" spans="2:2" x14ac:dyDescent="0.3">
      <c r="B83" t="s">
        <v>1362</v>
      </c>
    </row>
    <row r="84" spans="2:2" x14ac:dyDescent="0.3">
      <c r="B84" t="s">
        <v>1363</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9A887-B0B5-4A9A-BC64-A49D1301AFDA}">
  <dimension ref="A1:G35"/>
  <sheetViews>
    <sheetView topLeftCell="A7" workbookViewId="0">
      <selection activeCell="B31" sqref="B31"/>
    </sheetView>
  </sheetViews>
  <sheetFormatPr defaultRowHeight="14.4" x14ac:dyDescent="0.3"/>
  <cols>
    <col min="1" max="1" width="13" customWidth="1"/>
    <col min="2" max="2" width="16.109375" customWidth="1"/>
    <col min="3" max="3" width="18.77734375" customWidth="1"/>
    <col min="4" max="4" width="10.88671875" bestFit="1" customWidth="1"/>
    <col min="6" max="6" width="14.5546875" bestFit="1" customWidth="1"/>
    <col min="7" max="7" width="16.33203125" bestFit="1" customWidth="1"/>
  </cols>
  <sheetData>
    <row r="1" spans="1:7" x14ac:dyDescent="0.3">
      <c r="A1" t="s">
        <v>1364</v>
      </c>
      <c r="B1" t="s">
        <v>1365</v>
      </c>
      <c r="C1" t="s">
        <v>1366</v>
      </c>
    </row>
    <row r="2" spans="1:7" x14ac:dyDescent="0.3">
      <c r="A2">
        <v>64.679973016943805</v>
      </c>
      <c r="B2">
        <f>AVERAGE(Table5[Final Amount])</f>
        <v>541.12576687116564</v>
      </c>
      <c r="C2">
        <f>A2*B2</f>
        <v>35000.000000000015</v>
      </c>
    </row>
    <row r="5" spans="1:7" x14ac:dyDescent="0.3">
      <c r="F5" s="46" t="s">
        <v>1369</v>
      </c>
      <c r="G5" s="46" t="s">
        <v>1368</v>
      </c>
    </row>
    <row r="6" spans="1:7" x14ac:dyDescent="0.3">
      <c r="A6" t="s">
        <v>1305</v>
      </c>
      <c r="B6" t="s">
        <v>1367</v>
      </c>
      <c r="C6" t="s">
        <v>1368</v>
      </c>
      <c r="G6">
        <f>C7</f>
        <v>38423.174846625763</v>
      </c>
    </row>
    <row r="7" spans="1:7" x14ac:dyDescent="0.3">
      <c r="A7">
        <v>50</v>
      </c>
      <c r="B7">
        <v>65</v>
      </c>
      <c r="C7">
        <f>B7*B2+B7*A7</f>
        <v>38423.174846625763</v>
      </c>
      <c r="F7">
        <v>50</v>
      </c>
      <c r="G7">
        <f t="dataTable" ref="G7:G11" dt2D="0" dtr="0" r1="A7"/>
        <v>38423.174846625763</v>
      </c>
    </row>
    <row r="8" spans="1:7" x14ac:dyDescent="0.3">
      <c r="F8">
        <v>65</v>
      </c>
      <c r="G8">
        <v>39398.174846625763</v>
      </c>
    </row>
    <row r="9" spans="1:7" x14ac:dyDescent="0.3">
      <c r="F9">
        <v>80</v>
      </c>
      <c r="G9">
        <v>40373.174846625763</v>
      </c>
    </row>
    <row r="10" spans="1:7" x14ac:dyDescent="0.3">
      <c r="F10">
        <v>100</v>
      </c>
      <c r="G10">
        <v>41673.174846625763</v>
      </c>
    </row>
    <row r="11" spans="1:7" x14ac:dyDescent="0.3">
      <c r="F11">
        <v>120</v>
      </c>
      <c r="G11">
        <v>42973.174846625763</v>
      </c>
    </row>
    <row r="15" spans="1:7" x14ac:dyDescent="0.3">
      <c r="D15" s="42" t="s">
        <v>94</v>
      </c>
      <c r="E15" t="s">
        <v>1371</v>
      </c>
    </row>
    <row r="16" spans="1:7" x14ac:dyDescent="0.3">
      <c r="E16" t="s">
        <v>1372</v>
      </c>
    </row>
    <row r="17" spans="1:5" x14ac:dyDescent="0.3">
      <c r="E17" t="s">
        <v>1373</v>
      </c>
    </row>
    <row r="18" spans="1:5" x14ac:dyDescent="0.3">
      <c r="A18" s="47" t="s">
        <v>1376</v>
      </c>
      <c r="E18" t="s">
        <v>1374</v>
      </c>
    </row>
    <row r="19" spans="1:5" x14ac:dyDescent="0.3">
      <c r="E19" t="s">
        <v>1375</v>
      </c>
    </row>
    <row r="20" spans="1:5" x14ac:dyDescent="0.3">
      <c r="A20" t="s">
        <v>1364</v>
      </c>
      <c r="B20" t="s">
        <v>1365</v>
      </c>
      <c r="C20" t="s">
        <v>1366</v>
      </c>
      <c r="E20" t="s">
        <v>1370</v>
      </c>
    </row>
    <row r="21" spans="1:5" x14ac:dyDescent="0.3">
      <c r="A21">
        <v>65</v>
      </c>
      <c r="B21">
        <v>541</v>
      </c>
      <c r="C21">
        <f>A21*B21</f>
        <v>35165</v>
      </c>
    </row>
    <row r="25" spans="1:5" x14ac:dyDescent="0.3">
      <c r="D25" s="42" t="s">
        <v>96</v>
      </c>
      <c r="E25" t="s">
        <v>1377</v>
      </c>
    </row>
    <row r="27" spans="1:5" x14ac:dyDescent="0.3">
      <c r="E27" s="42" t="s">
        <v>1378</v>
      </c>
    </row>
    <row r="28" spans="1:5" x14ac:dyDescent="0.3">
      <c r="E28" s="42" t="s">
        <v>1379</v>
      </c>
    </row>
    <row r="29" spans="1:5" x14ac:dyDescent="0.3">
      <c r="E29" s="42" t="s">
        <v>1380</v>
      </c>
    </row>
    <row r="31" spans="1:5" x14ac:dyDescent="0.3">
      <c r="E31" t="s">
        <v>1381</v>
      </c>
    </row>
    <row r="32" spans="1:5" x14ac:dyDescent="0.3">
      <c r="E32" t="s">
        <v>1383</v>
      </c>
    </row>
    <row r="33" spans="5:5" x14ac:dyDescent="0.3">
      <c r="E33" t="s">
        <v>1382</v>
      </c>
    </row>
    <row r="34" spans="5:5" x14ac:dyDescent="0.3">
      <c r="E34" t="s">
        <v>1384</v>
      </c>
    </row>
    <row r="35" spans="5:5" x14ac:dyDescent="0.3">
      <c r="E35" t="s">
        <v>1385</v>
      </c>
    </row>
  </sheetData>
  <scenarios current="1" show="1">
    <scenario name="Weak Month" count="2" user="User" comment="Created by User on 9/6/2026_x000a_Modified by User on 9/6/2026">
      <inputCells r="A21" val="50"/>
      <inputCells r="B21" val="480"/>
    </scenario>
    <scenario name="Normal Month" count="2" user="User" comment="Created by User on 9/6/2026_x000a_Modified by User on 9/6/2026">
      <inputCells r="A21" val="65"/>
      <inputCells r="B21" val="541"/>
    </scenario>
    <scenario name="Strong Month" count="2" user="User" comment="Created by User on 9/6/2026_x000a_Modified by User on 9/6/2026">
      <inputCells r="A21" val="85"/>
      <inputCells r="B21" val="600"/>
    </scenario>
  </scenarios>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F03BF-DBDA-436E-BB1E-4DE660D44DB0}">
  <dimension ref="A1:B329"/>
  <sheetViews>
    <sheetView workbookViewId="0">
      <selection activeCell="D1" sqref="D1"/>
    </sheetView>
  </sheetViews>
  <sheetFormatPr defaultRowHeight="14.4" x14ac:dyDescent="0.3"/>
  <cols>
    <col min="1" max="1" width="16.44140625" customWidth="1"/>
    <col min="2" max="2" width="13.109375" customWidth="1"/>
    <col min="3" max="3" width="18.88671875" bestFit="1" customWidth="1"/>
  </cols>
  <sheetData>
    <row r="1" spans="1:2" x14ac:dyDescent="0.3">
      <c r="A1" t="s">
        <v>1352</v>
      </c>
      <c r="B1" t="s">
        <v>1351</v>
      </c>
    </row>
    <row r="2" spans="1:2" x14ac:dyDescent="0.3">
      <c r="A2" s="44">
        <v>45871</v>
      </c>
      <c r="B2">
        <f>COUNTIFS(Table5[OrderDate], "&gt;="&amp;A2,Table5[OrderDate], "&lt;"&amp;(A2+7))</f>
        <v>7</v>
      </c>
    </row>
    <row r="3" spans="1:2" x14ac:dyDescent="0.3">
      <c r="A3" s="44">
        <f>A2+7</f>
        <v>45878</v>
      </c>
      <c r="B3">
        <f>COUNTIFS(Table5[OrderDate], "&gt;="&amp;A3,Table5[OrderDate], "&lt;"&amp;(A3+7))</f>
        <v>11</v>
      </c>
    </row>
    <row r="4" spans="1:2" x14ac:dyDescent="0.3">
      <c r="A4" s="44">
        <f t="shared" ref="A4:A27" si="0">A3+7</f>
        <v>45885</v>
      </c>
      <c r="B4">
        <f>COUNTIFS(Table5[OrderDate], "&gt;="&amp;A4,Table5[OrderDate], "&lt;"&amp;(A4+7))</f>
        <v>9</v>
      </c>
    </row>
    <row r="5" spans="1:2" x14ac:dyDescent="0.3">
      <c r="A5" s="44">
        <f t="shared" si="0"/>
        <v>45892</v>
      </c>
      <c r="B5">
        <f>COUNTIFS(Table5[OrderDate], "&gt;="&amp;A5,Table5[OrderDate], "&lt;"&amp;(A5+7))</f>
        <v>8</v>
      </c>
    </row>
    <row r="6" spans="1:2" x14ac:dyDescent="0.3">
      <c r="A6" s="44">
        <f t="shared" si="0"/>
        <v>45899</v>
      </c>
      <c r="B6">
        <f>COUNTIFS(Table5[OrderDate], "&gt;="&amp;A6,Table5[OrderDate], "&lt;"&amp;(A6+7))</f>
        <v>7</v>
      </c>
    </row>
    <row r="7" spans="1:2" x14ac:dyDescent="0.3">
      <c r="A7" s="44">
        <f t="shared" si="0"/>
        <v>45906</v>
      </c>
      <c r="B7">
        <f>COUNTIFS(Table5[OrderDate], "&gt;="&amp;A7,Table5[OrderDate], "&lt;"&amp;(A7+7))</f>
        <v>11</v>
      </c>
    </row>
    <row r="8" spans="1:2" x14ac:dyDescent="0.3">
      <c r="A8" s="44">
        <f t="shared" si="0"/>
        <v>45913</v>
      </c>
      <c r="B8">
        <f>COUNTIFS(Table5[OrderDate], "&gt;="&amp;A8,Table5[OrderDate], "&lt;"&amp;(A8+7))</f>
        <v>9</v>
      </c>
    </row>
    <row r="9" spans="1:2" x14ac:dyDescent="0.3">
      <c r="A9" s="44">
        <f t="shared" si="0"/>
        <v>45920</v>
      </c>
      <c r="B9">
        <f>COUNTIFS(Table5[OrderDate], "&gt;="&amp;A9,Table5[OrderDate], "&lt;"&amp;(A9+7))</f>
        <v>5</v>
      </c>
    </row>
    <row r="10" spans="1:2" x14ac:dyDescent="0.3">
      <c r="A10" s="44">
        <f t="shared" si="0"/>
        <v>45927</v>
      </c>
      <c r="B10">
        <f>COUNTIFS(Table5[OrderDate], "&gt;="&amp;A10,Table5[OrderDate], "&lt;"&amp;(A10+7))</f>
        <v>10</v>
      </c>
    </row>
    <row r="11" spans="1:2" x14ac:dyDescent="0.3">
      <c r="A11" s="44">
        <f t="shared" si="0"/>
        <v>45934</v>
      </c>
      <c r="B11">
        <f>COUNTIFS(Table5[OrderDate], "&gt;="&amp;A11,Table5[OrderDate], "&lt;"&amp;(A11+7))</f>
        <v>2</v>
      </c>
    </row>
    <row r="12" spans="1:2" x14ac:dyDescent="0.3">
      <c r="A12" s="44">
        <f t="shared" si="0"/>
        <v>45941</v>
      </c>
      <c r="B12">
        <f>COUNTIFS(Table5[OrderDate], "&gt;="&amp;A12,Table5[OrderDate], "&lt;"&amp;(A12+7))</f>
        <v>8</v>
      </c>
    </row>
    <row r="13" spans="1:2" x14ac:dyDescent="0.3">
      <c r="A13" s="44">
        <f t="shared" si="0"/>
        <v>45948</v>
      </c>
      <c r="B13">
        <f>COUNTIFS(Table5[OrderDate], "&gt;="&amp;A13,Table5[OrderDate], "&lt;"&amp;(A13+7))</f>
        <v>28</v>
      </c>
    </row>
    <row r="14" spans="1:2" x14ac:dyDescent="0.3">
      <c r="A14" s="44">
        <f t="shared" si="0"/>
        <v>45955</v>
      </c>
      <c r="B14">
        <f>COUNTIFS(Table5[OrderDate], "&gt;="&amp;A14,Table5[OrderDate], "&lt;"&amp;(A14+7))</f>
        <v>40</v>
      </c>
    </row>
    <row r="15" spans="1:2" x14ac:dyDescent="0.3">
      <c r="A15" s="44">
        <f>A14+7</f>
        <v>45962</v>
      </c>
      <c r="B15">
        <f>COUNTIFS(Table5[OrderDate], "&gt;="&amp;A15,Table5[OrderDate], "&lt;"&amp;(A15+7))</f>
        <v>29</v>
      </c>
    </row>
    <row r="16" spans="1:2" x14ac:dyDescent="0.3">
      <c r="A16" s="44">
        <f t="shared" si="0"/>
        <v>45969</v>
      </c>
      <c r="B16">
        <f>COUNTIFS(Table5[OrderDate], "&gt;="&amp;A16,Table5[OrderDate], "&lt;"&amp;(A16+7))</f>
        <v>13</v>
      </c>
    </row>
    <row r="17" spans="1:2" x14ac:dyDescent="0.3">
      <c r="A17" s="44">
        <f t="shared" si="0"/>
        <v>45976</v>
      </c>
      <c r="B17">
        <f>COUNTIFS(Table5[OrderDate], "&gt;="&amp;A17,Table5[OrderDate], "&lt;"&amp;(A17+7))</f>
        <v>9</v>
      </c>
    </row>
    <row r="18" spans="1:2" x14ac:dyDescent="0.3">
      <c r="A18" s="44">
        <f t="shared" si="0"/>
        <v>45983</v>
      </c>
      <c r="B18">
        <f>COUNTIFS(Table5[OrderDate], "&gt;="&amp;A18,Table5[OrderDate], "&lt;"&amp;(A18+7))</f>
        <v>3</v>
      </c>
    </row>
    <row r="19" spans="1:2" x14ac:dyDescent="0.3">
      <c r="A19" s="44">
        <f t="shared" si="0"/>
        <v>45990</v>
      </c>
      <c r="B19">
        <f>COUNTIFS(Table5[OrderDate], "&gt;="&amp;A19,Table5[OrderDate], "&lt;"&amp;(A19+7))</f>
        <v>8</v>
      </c>
    </row>
    <row r="20" spans="1:2" x14ac:dyDescent="0.3">
      <c r="A20" s="44">
        <f t="shared" si="0"/>
        <v>45997</v>
      </c>
      <c r="B20">
        <f>COUNTIFS(Table5[OrderDate], "&gt;="&amp;A20,Table5[OrderDate], "&lt;"&amp;(A20+7))</f>
        <v>12</v>
      </c>
    </row>
    <row r="21" spans="1:2" x14ac:dyDescent="0.3">
      <c r="A21" s="44">
        <f t="shared" si="0"/>
        <v>46004</v>
      </c>
      <c r="B21">
        <f>COUNTIFS(Table5[OrderDate], "&gt;="&amp;A21,Table5[OrderDate], "&lt;"&amp;(A21+7))</f>
        <v>11</v>
      </c>
    </row>
    <row r="22" spans="1:2" x14ac:dyDescent="0.3">
      <c r="A22" s="44">
        <f t="shared" si="0"/>
        <v>46011</v>
      </c>
      <c r="B22">
        <f>COUNTIFS(Table5[OrderDate], "&gt;="&amp;A22,Table5[OrderDate], "&lt;"&amp;(A22+7))</f>
        <v>16</v>
      </c>
    </row>
    <row r="23" spans="1:2" x14ac:dyDescent="0.3">
      <c r="A23" s="44">
        <f t="shared" si="0"/>
        <v>46018</v>
      </c>
      <c r="B23">
        <f>COUNTIFS(Table5[OrderDate], "&gt;="&amp;A23,Table5[OrderDate], "&lt;"&amp;(A23+7))</f>
        <v>10</v>
      </c>
    </row>
    <row r="24" spans="1:2" x14ac:dyDescent="0.3">
      <c r="A24" s="44">
        <f t="shared" si="0"/>
        <v>46025</v>
      </c>
      <c r="B24">
        <f>COUNTIFS(Table5[OrderDate], "&gt;="&amp;A24,Table5[OrderDate], "&lt;"&amp;(A24+7))</f>
        <v>16</v>
      </c>
    </row>
    <row r="25" spans="1:2" x14ac:dyDescent="0.3">
      <c r="A25" s="44">
        <f t="shared" si="0"/>
        <v>46032</v>
      </c>
      <c r="B25">
        <f>COUNTIFS(Table5[OrderDate], "&gt;="&amp;A25,Table5[OrderDate], "&lt;"&amp;(A25+7))</f>
        <v>14</v>
      </c>
    </row>
    <row r="26" spans="1:2" x14ac:dyDescent="0.3">
      <c r="A26" s="44">
        <f t="shared" si="0"/>
        <v>46039</v>
      </c>
      <c r="B26">
        <f>COUNTIFS(Table5[OrderDate], "&gt;="&amp;A26,Table5[OrderDate], "&lt;"&amp;(A26+7))</f>
        <v>7</v>
      </c>
    </row>
    <row r="27" spans="1:2" x14ac:dyDescent="0.3">
      <c r="A27" s="44">
        <f t="shared" si="0"/>
        <v>46046</v>
      </c>
      <c r="B27">
        <f>COUNTIFS(Table5[OrderDate], "&gt;="&amp;A27,Table5[OrderDate], "&lt;"&amp;(A27+7))</f>
        <v>18</v>
      </c>
    </row>
    <row r="28" spans="1:2" x14ac:dyDescent="0.3">
      <c r="A28" s="44"/>
    </row>
    <row r="29" spans="1:2" x14ac:dyDescent="0.3">
      <c r="A29" s="44"/>
    </row>
    <row r="30" spans="1:2" x14ac:dyDescent="0.3">
      <c r="A30" s="44"/>
    </row>
    <row r="32" spans="1:2" x14ac:dyDescent="0.3">
      <c r="A32" s="44"/>
    </row>
    <row r="33" spans="1:1" x14ac:dyDescent="0.3">
      <c r="A33" s="44"/>
    </row>
    <row r="34" spans="1:1" x14ac:dyDescent="0.3">
      <c r="A34" s="44"/>
    </row>
    <row r="36" spans="1:1" x14ac:dyDescent="0.3">
      <c r="A36" s="44"/>
    </row>
    <row r="156" spans="2:2" x14ac:dyDescent="0.3">
      <c r="B156" s="43"/>
    </row>
    <row r="157" spans="2:2" x14ac:dyDescent="0.3">
      <c r="B157" s="43"/>
    </row>
    <row r="158" spans="2:2" x14ac:dyDescent="0.3">
      <c r="B158" s="43"/>
    </row>
    <row r="159" spans="2:2" x14ac:dyDescent="0.3">
      <c r="B159" s="43"/>
    </row>
    <row r="160" spans="2:2" x14ac:dyDescent="0.3">
      <c r="B160" s="43"/>
    </row>
    <row r="161" spans="2:2" x14ac:dyDescent="0.3">
      <c r="B161" s="43"/>
    </row>
    <row r="162" spans="2:2" x14ac:dyDescent="0.3">
      <c r="B162" s="43"/>
    </row>
    <row r="163" spans="2:2" x14ac:dyDescent="0.3">
      <c r="B163" s="43"/>
    </row>
    <row r="164" spans="2:2" x14ac:dyDescent="0.3">
      <c r="B164" s="43"/>
    </row>
    <row r="165" spans="2:2" x14ac:dyDescent="0.3">
      <c r="B165" s="43"/>
    </row>
    <row r="166" spans="2:2" x14ac:dyDescent="0.3">
      <c r="B166" s="43"/>
    </row>
    <row r="167" spans="2:2" x14ac:dyDescent="0.3">
      <c r="B167" s="43"/>
    </row>
    <row r="168" spans="2:2" x14ac:dyDescent="0.3">
      <c r="B168" s="43"/>
    </row>
    <row r="169" spans="2:2" x14ac:dyDescent="0.3">
      <c r="B169" s="43"/>
    </row>
    <row r="170" spans="2:2" x14ac:dyDescent="0.3">
      <c r="B170" s="43"/>
    </row>
    <row r="171" spans="2:2" x14ac:dyDescent="0.3">
      <c r="B171" s="43"/>
    </row>
    <row r="172" spans="2:2" x14ac:dyDescent="0.3">
      <c r="B172" s="43"/>
    </row>
    <row r="173" spans="2:2" x14ac:dyDescent="0.3">
      <c r="B173" s="43"/>
    </row>
    <row r="174" spans="2:2" x14ac:dyDescent="0.3">
      <c r="B174" s="43"/>
    </row>
    <row r="175" spans="2:2" x14ac:dyDescent="0.3">
      <c r="B175" s="43"/>
    </row>
    <row r="176" spans="2:2" x14ac:dyDescent="0.3">
      <c r="B176" s="43"/>
    </row>
    <row r="177" spans="2:2" x14ac:dyDescent="0.3">
      <c r="B177" s="43"/>
    </row>
    <row r="178" spans="2:2" x14ac:dyDescent="0.3">
      <c r="B178" s="43"/>
    </row>
    <row r="179" spans="2:2" x14ac:dyDescent="0.3">
      <c r="B179" s="43"/>
    </row>
    <row r="180" spans="2:2" x14ac:dyDescent="0.3">
      <c r="B180" s="43"/>
    </row>
    <row r="181" spans="2:2" x14ac:dyDescent="0.3">
      <c r="B181" s="43"/>
    </row>
    <row r="182" spans="2:2" x14ac:dyDescent="0.3">
      <c r="B182" s="43"/>
    </row>
    <row r="183" spans="2:2" x14ac:dyDescent="0.3">
      <c r="B183" s="43"/>
    </row>
    <row r="184" spans="2:2" x14ac:dyDescent="0.3">
      <c r="B184" s="43"/>
    </row>
    <row r="185" spans="2:2" x14ac:dyDescent="0.3">
      <c r="B185" s="43"/>
    </row>
    <row r="186" spans="2:2" x14ac:dyDescent="0.3">
      <c r="B186" s="43"/>
    </row>
    <row r="187" spans="2:2" x14ac:dyDescent="0.3">
      <c r="B187" s="43"/>
    </row>
    <row r="188" spans="2:2" x14ac:dyDescent="0.3">
      <c r="B188" s="43"/>
    </row>
    <row r="189" spans="2:2" x14ac:dyDescent="0.3">
      <c r="B189" s="43"/>
    </row>
    <row r="190" spans="2:2" x14ac:dyDescent="0.3">
      <c r="B190" s="43"/>
    </row>
    <row r="191" spans="2:2" x14ac:dyDescent="0.3">
      <c r="B191" s="43"/>
    </row>
    <row r="192" spans="2:2" x14ac:dyDescent="0.3">
      <c r="B192" s="43"/>
    </row>
    <row r="193" spans="2:2" x14ac:dyDescent="0.3">
      <c r="B193" s="43"/>
    </row>
    <row r="194" spans="2:2" x14ac:dyDescent="0.3">
      <c r="B194" s="43"/>
    </row>
    <row r="195" spans="2:2" x14ac:dyDescent="0.3">
      <c r="B195" s="43"/>
    </row>
    <row r="196" spans="2:2" x14ac:dyDescent="0.3">
      <c r="B196" s="43"/>
    </row>
    <row r="197" spans="2:2" x14ac:dyDescent="0.3">
      <c r="B197" s="43"/>
    </row>
    <row r="198" spans="2:2" x14ac:dyDescent="0.3">
      <c r="B198" s="43"/>
    </row>
    <row r="199" spans="2:2" x14ac:dyDescent="0.3">
      <c r="B199" s="43"/>
    </row>
    <row r="200" spans="2:2" x14ac:dyDescent="0.3">
      <c r="B200" s="43"/>
    </row>
    <row r="201" spans="2:2" x14ac:dyDescent="0.3">
      <c r="B201" s="43"/>
    </row>
    <row r="202" spans="2:2" x14ac:dyDescent="0.3">
      <c r="B202" s="43"/>
    </row>
    <row r="203" spans="2:2" x14ac:dyDescent="0.3">
      <c r="B203" s="43"/>
    </row>
    <row r="204" spans="2:2" x14ac:dyDescent="0.3">
      <c r="B204" s="43"/>
    </row>
    <row r="205" spans="2:2" x14ac:dyDescent="0.3">
      <c r="B205" s="43"/>
    </row>
    <row r="206" spans="2:2" x14ac:dyDescent="0.3">
      <c r="B206" s="43"/>
    </row>
    <row r="207" spans="2:2" x14ac:dyDescent="0.3">
      <c r="B207" s="43"/>
    </row>
    <row r="208" spans="2:2" x14ac:dyDescent="0.3">
      <c r="B208" s="43"/>
    </row>
    <row r="209" spans="2:2" x14ac:dyDescent="0.3">
      <c r="B209" s="43"/>
    </row>
    <row r="210" spans="2:2" x14ac:dyDescent="0.3">
      <c r="B210" s="43"/>
    </row>
    <row r="211" spans="2:2" x14ac:dyDescent="0.3">
      <c r="B211" s="43"/>
    </row>
    <row r="212" spans="2:2" x14ac:dyDescent="0.3">
      <c r="B212" s="43"/>
    </row>
    <row r="213" spans="2:2" x14ac:dyDescent="0.3">
      <c r="B213" s="43"/>
    </row>
    <row r="214" spans="2:2" x14ac:dyDescent="0.3">
      <c r="B214" s="43"/>
    </row>
    <row r="215" spans="2:2" x14ac:dyDescent="0.3">
      <c r="B215" s="43"/>
    </row>
    <row r="216" spans="2:2" x14ac:dyDescent="0.3">
      <c r="B216" s="43"/>
    </row>
    <row r="217" spans="2:2" x14ac:dyDescent="0.3">
      <c r="B217" s="43"/>
    </row>
    <row r="218" spans="2:2" x14ac:dyDescent="0.3">
      <c r="B218" s="43"/>
    </row>
    <row r="219" spans="2:2" x14ac:dyDescent="0.3">
      <c r="B219" s="43"/>
    </row>
    <row r="220" spans="2:2" x14ac:dyDescent="0.3">
      <c r="B220" s="43"/>
    </row>
    <row r="221" spans="2:2" x14ac:dyDescent="0.3">
      <c r="B221" s="43"/>
    </row>
    <row r="222" spans="2:2" x14ac:dyDescent="0.3">
      <c r="B222" s="43"/>
    </row>
    <row r="223" spans="2:2" x14ac:dyDescent="0.3">
      <c r="B223" s="43"/>
    </row>
    <row r="224" spans="2:2" x14ac:dyDescent="0.3">
      <c r="B224" s="43"/>
    </row>
    <row r="225" spans="2:2" x14ac:dyDescent="0.3">
      <c r="B225" s="43"/>
    </row>
    <row r="226" spans="2:2" x14ac:dyDescent="0.3">
      <c r="B226" s="43"/>
    </row>
    <row r="227" spans="2:2" x14ac:dyDescent="0.3">
      <c r="B227" s="43"/>
    </row>
    <row r="228" spans="2:2" x14ac:dyDescent="0.3">
      <c r="B228" s="43"/>
    </row>
    <row r="229" spans="2:2" x14ac:dyDescent="0.3">
      <c r="B229" s="43"/>
    </row>
    <row r="230" spans="2:2" x14ac:dyDescent="0.3">
      <c r="B230" s="43"/>
    </row>
    <row r="231" spans="2:2" x14ac:dyDescent="0.3">
      <c r="B231" s="43"/>
    </row>
    <row r="232" spans="2:2" x14ac:dyDescent="0.3">
      <c r="B232" s="43"/>
    </row>
    <row r="233" spans="2:2" x14ac:dyDescent="0.3">
      <c r="B233" s="43"/>
    </row>
    <row r="234" spans="2:2" x14ac:dyDescent="0.3">
      <c r="B234" s="43"/>
    </row>
    <row r="235" spans="2:2" x14ac:dyDescent="0.3">
      <c r="B235" s="43"/>
    </row>
    <row r="236" spans="2:2" x14ac:dyDescent="0.3">
      <c r="B236" s="43"/>
    </row>
    <row r="237" spans="2:2" x14ac:dyDescent="0.3">
      <c r="B237" s="43"/>
    </row>
    <row r="238" spans="2:2" x14ac:dyDescent="0.3">
      <c r="B238" s="43"/>
    </row>
    <row r="239" spans="2:2" x14ac:dyDescent="0.3">
      <c r="B239" s="43"/>
    </row>
    <row r="240" spans="2:2" x14ac:dyDescent="0.3">
      <c r="B240" s="43"/>
    </row>
    <row r="241" spans="2:2" x14ac:dyDescent="0.3">
      <c r="B241" s="43"/>
    </row>
    <row r="242" spans="2:2" x14ac:dyDescent="0.3">
      <c r="B242" s="43"/>
    </row>
    <row r="243" spans="2:2" x14ac:dyDescent="0.3">
      <c r="B243" s="43"/>
    </row>
    <row r="244" spans="2:2" x14ac:dyDescent="0.3">
      <c r="B244" s="43"/>
    </row>
    <row r="245" spans="2:2" x14ac:dyDescent="0.3">
      <c r="B245" s="43"/>
    </row>
    <row r="246" spans="2:2" x14ac:dyDescent="0.3">
      <c r="B246" s="43"/>
    </row>
    <row r="247" spans="2:2" x14ac:dyDescent="0.3">
      <c r="B247" s="43"/>
    </row>
    <row r="248" spans="2:2" x14ac:dyDescent="0.3">
      <c r="B248" s="43"/>
    </row>
    <row r="249" spans="2:2" x14ac:dyDescent="0.3">
      <c r="B249" s="43"/>
    </row>
    <row r="250" spans="2:2" x14ac:dyDescent="0.3">
      <c r="B250" s="43"/>
    </row>
    <row r="251" spans="2:2" x14ac:dyDescent="0.3">
      <c r="B251" s="43"/>
    </row>
    <row r="252" spans="2:2" x14ac:dyDescent="0.3">
      <c r="B252" s="43"/>
    </row>
    <row r="253" spans="2:2" x14ac:dyDescent="0.3">
      <c r="B253" s="43"/>
    </row>
    <row r="254" spans="2:2" x14ac:dyDescent="0.3">
      <c r="B254" s="43"/>
    </row>
    <row r="255" spans="2:2" x14ac:dyDescent="0.3">
      <c r="B255" s="43"/>
    </row>
    <row r="256" spans="2:2" x14ac:dyDescent="0.3">
      <c r="B256" s="43"/>
    </row>
    <row r="257" spans="2:2" x14ac:dyDescent="0.3">
      <c r="B257" s="43"/>
    </row>
    <row r="258" spans="2:2" x14ac:dyDescent="0.3">
      <c r="B258" s="43"/>
    </row>
    <row r="259" spans="2:2" x14ac:dyDescent="0.3">
      <c r="B259" s="43"/>
    </row>
    <row r="260" spans="2:2" x14ac:dyDescent="0.3">
      <c r="B260" s="43"/>
    </row>
    <row r="261" spans="2:2" x14ac:dyDescent="0.3">
      <c r="B261" s="43"/>
    </row>
    <row r="262" spans="2:2" x14ac:dyDescent="0.3">
      <c r="B262" s="43"/>
    </row>
    <row r="263" spans="2:2" x14ac:dyDescent="0.3">
      <c r="B263" s="43"/>
    </row>
    <row r="264" spans="2:2" x14ac:dyDescent="0.3">
      <c r="B264" s="43"/>
    </row>
    <row r="265" spans="2:2" x14ac:dyDescent="0.3">
      <c r="B265" s="43"/>
    </row>
    <row r="266" spans="2:2" x14ac:dyDescent="0.3">
      <c r="B266" s="43"/>
    </row>
    <row r="267" spans="2:2" x14ac:dyDescent="0.3">
      <c r="B267" s="43"/>
    </row>
    <row r="268" spans="2:2" x14ac:dyDescent="0.3">
      <c r="B268" s="43"/>
    </row>
    <row r="269" spans="2:2" x14ac:dyDescent="0.3">
      <c r="B269" s="43"/>
    </row>
    <row r="270" spans="2:2" x14ac:dyDescent="0.3">
      <c r="B270" s="43"/>
    </row>
    <row r="271" spans="2:2" x14ac:dyDescent="0.3">
      <c r="B271" s="43"/>
    </row>
    <row r="272" spans="2:2" x14ac:dyDescent="0.3">
      <c r="B272" s="43"/>
    </row>
    <row r="273" spans="2:2" x14ac:dyDescent="0.3">
      <c r="B273" s="43"/>
    </row>
    <row r="274" spans="2:2" x14ac:dyDescent="0.3">
      <c r="B274" s="43"/>
    </row>
    <row r="275" spans="2:2" x14ac:dyDescent="0.3">
      <c r="B275" s="43"/>
    </row>
    <row r="276" spans="2:2" x14ac:dyDescent="0.3">
      <c r="B276" s="43"/>
    </row>
    <row r="277" spans="2:2" x14ac:dyDescent="0.3">
      <c r="B277" s="43"/>
    </row>
    <row r="278" spans="2:2" x14ac:dyDescent="0.3">
      <c r="B278" s="43"/>
    </row>
    <row r="279" spans="2:2" x14ac:dyDescent="0.3">
      <c r="B279" s="43"/>
    </row>
    <row r="280" spans="2:2" x14ac:dyDescent="0.3">
      <c r="B280" s="43"/>
    </row>
    <row r="281" spans="2:2" x14ac:dyDescent="0.3">
      <c r="B281" s="43"/>
    </row>
    <row r="282" spans="2:2" x14ac:dyDescent="0.3">
      <c r="B282" s="43"/>
    </row>
    <row r="283" spans="2:2" x14ac:dyDescent="0.3">
      <c r="B283" s="43"/>
    </row>
    <row r="284" spans="2:2" x14ac:dyDescent="0.3">
      <c r="B284" s="43"/>
    </row>
    <row r="285" spans="2:2" x14ac:dyDescent="0.3">
      <c r="B285" s="43"/>
    </row>
    <row r="286" spans="2:2" x14ac:dyDescent="0.3">
      <c r="B286" s="43"/>
    </row>
    <row r="287" spans="2:2" x14ac:dyDescent="0.3">
      <c r="B287" s="43"/>
    </row>
    <row r="288" spans="2:2" x14ac:dyDescent="0.3">
      <c r="B288" s="43"/>
    </row>
    <row r="289" spans="2:2" x14ac:dyDescent="0.3">
      <c r="B289" s="43"/>
    </row>
    <row r="290" spans="2:2" x14ac:dyDescent="0.3">
      <c r="B290" s="43"/>
    </row>
    <row r="291" spans="2:2" x14ac:dyDescent="0.3">
      <c r="B291" s="43"/>
    </row>
    <row r="292" spans="2:2" x14ac:dyDescent="0.3">
      <c r="B292" s="43"/>
    </row>
    <row r="293" spans="2:2" x14ac:dyDescent="0.3">
      <c r="B293" s="43"/>
    </row>
    <row r="294" spans="2:2" x14ac:dyDescent="0.3">
      <c r="B294" s="43"/>
    </row>
    <row r="295" spans="2:2" x14ac:dyDescent="0.3">
      <c r="B295" s="43"/>
    </row>
    <row r="296" spans="2:2" x14ac:dyDescent="0.3">
      <c r="B296" s="43"/>
    </row>
    <row r="297" spans="2:2" x14ac:dyDescent="0.3">
      <c r="B297" s="43"/>
    </row>
    <row r="298" spans="2:2" x14ac:dyDescent="0.3">
      <c r="B298" s="43"/>
    </row>
    <row r="299" spans="2:2" x14ac:dyDescent="0.3">
      <c r="B299" s="43"/>
    </row>
    <row r="300" spans="2:2" x14ac:dyDescent="0.3">
      <c r="B300" s="43"/>
    </row>
    <row r="301" spans="2:2" x14ac:dyDescent="0.3">
      <c r="B301" s="43"/>
    </row>
    <row r="302" spans="2:2" x14ac:dyDescent="0.3">
      <c r="B302" s="43"/>
    </row>
    <row r="303" spans="2:2" x14ac:dyDescent="0.3">
      <c r="B303" s="43"/>
    </row>
    <row r="304" spans="2:2" x14ac:dyDescent="0.3">
      <c r="B304" s="43"/>
    </row>
    <row r="305" spans="2:2" x14ac:dyDescent="0.3">
      <c r="B305" s="43"/>
    </row>
    <row r="306" spans="2:2" x14ac:dyDescent="0.3">
      <c r="B306" s="43"/>
    </row>
    <row r="307" spans="2:2" x14ac:dyDescent="0.3">
      <c r="B307" s="43"/>
    </row>
    <row r="308" spans="2:2" x14ac:dyDescent="0.3">
      <c r="B308" s="43"/>
    </row>
    <row r="309" spans="2:2" x14ac:dyDescent="0.3">
      <c r="B309" s="43"/>
    </row>
    <row r="310" spans="2:2" x14ac:dyDescent="0.3">
      <c r="B310" s="43"/>
    </row>
    <row r="311" spans="2:2" x14ac:dyDescent="0.3">
      <c r="B311" s="43"/>
    </row>
    <row r="312" spans="2:2" x14ac:dyDescent="0.3">
      <c r="B312" s="43"/>
    </row>
    <row r="313" spans="2:2" x14ac:dyDescent="0.3">
      <c r="B313" s="43"/>
    </row>
    <row r="314" spans="2:2" x14ac:dyDescent="0.3">
      <c r="B314" s="43"/>
    </row>
    <row r="315" spans="2:2" x14ac:dyDescent="0.3">
      <c r="B315" s="43"/>
    </row>
    <row r="316" spans="2:2" x14ac:dyDescent="0.3">
      <c r="B316" s="43"/>
    </row>
    <row r="317" spans="2:2" x14ac:dyDescent="0.3">
      <c r="B317" s="43"/>
    </row>
    <row r="318" spans="2:2" x14ac:dyDescent="0.3">
      <c r="B318" s="43"/>
    </row>
    <row r="319" spans="2:2" x14ac:dyDescent="0.3">
      <c r="B319" s="43"/>
    </row>
    <row r="320" spans="2:2" x14ac:dyDescent="0.3">
      <c r="B320" s="43"/>
    </row>
    <row r="321" spans="2:2" x14ac:dyDescent="0.3">
      <c r="B321" s="43"/>
    </row>
    <row r="322" spans="2:2" x14ac:dyDescent="0.3">
      <c r="B322" s="43"/>
    </row>
    <row r="323" spans="2:2" x14ac:dyDescent="0.3">
      <c r="B323" s="43"/>
    </row>
    <row r="324" spans="2:2" x14ac:dyDescent="0.3">
      <c r="B324" s="43"/>
    </row>
    <row r="325" spans="2:2" x14ac:dyDescent="0.3">
      <c r="B325" s="43"/>
    </row>
    <row r="326" spans="2:2" x14ac:dyDescent="0.3">
      <c r="B326" s="43"/>
    </row>
    <row r="327" spans="2:2" x14ac:dyDescent="0.3">
      <c r="B327" s="43"/>
    </row>
    <row r="328" spans="2:2" x14ac:dyDescent="0.3">
      <c r="B328" s="43"/>
    </row>
    <row r="329" spans="2:2" x14ac:dyDescent="0.3">
      <c r="B329" s="4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Orders_Work</vt:lpstr>
      <vt:lpstr>Dashboard</vt:lpstr>
      <vt:lpstr>Menu_Price_List</vt:lpstr>
      <vt:lpstr>Rider_Directory</vt:lpstr>
      <vt:lpstr>Promo_Codes</vt:lpstr>
      <vt:lpstr>Orders_Raw</vt:lpstr>
      <vt:lpstr>City_Delivery_Fee</vt:lpstr>
      <vt:lpstr>ForecastSheet</vt:lpstr>
      <vt:lpstr>WhatIF</vt:lpstr>
      <vt:lpstr>ForecastData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Aachal Adhikari</cp:lastModifiedBy>
  <dcterms:created xsi:type="dcterms:W3CDTF">2026-08-27T06:18:21Z</dcterms:created>
  <dcterms:modified xsi:type="dcterms:W3CDTF">2026-09-19T14:48:19Z</dcterms:modified>
</cp:coreProperties>
</file>